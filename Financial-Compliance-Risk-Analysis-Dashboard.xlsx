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13_ncr:1_{201EAE8D-18F9-4F4A-9DC0-9225B78352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Regression Analysis" sheetId="2" r:id="rId2"/>
    <sheet name="Histogram" sheetId="3" r:id="rId3"/>
    <sheet name="Correlation &amp; Covariance" sheetId="4" r:id="rId4"/>
    <sheet name="Descriptive Statistics" sheetId="5" r:id="rId5"/>
    <sheet name="Big 4 Financial risk compliance" sheetId="6" r:id="rId6"/>
  </sheets>
  <definedNames>
    <definedName name="_xlnm.Print_Area" localSheetId="0">Dashboard!$A$1:$R$41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5" l="1"/>
  <c r="F9" i="4"/>
  <c r="P32" i="1" s="1"/>
  <c r="E8" i="4"/>
  <c r="P31" i="1" s="1"/>
  <c r="J33" i="1"/>
  <c r="J32" i="1"/>
  <c r="E32" i="1"/>
  <c r="C32" i="1"/>
  <c r="J31" i="1"/>
  <c r="E31" i="1"/>
  <c r="C31" i="1"/>
  <c r="P30" i="1"/>
  <c r="J30" i="1"/>
  <c r="E30" i="1"/>
  <c r="C30" i="1"/>
  <c r="J29" i="1"/>
  <c r="E29" i="1"/>
  <c r="C29" i="1"/>
  <c r="Q28" i="1"/>
  <c r="O28" i="1"/>
  <c r="J28" i="1"/>
  <c r="E28" i="1"/>
  <c r="C28" i="1"/>
  <c r="Q27" i="1"/>
  <c r="O27" i="1"/>
  <c r="J27" i="1"/>
  <c r="E27" i="1"/>
  <c r="C27" i="1"/>
  <c r="J26" i="1"/>
  <c r="E26" i="1"/>
  <c r="C26" i="1"/>
  <c r="J25" i="1"/>
  <c r="P6" i="1"/>
  <c r="M6" i="1"/>
  <c r="J6" i="1"/>
  <c r="G6" i="1"/>
  <c r="D6" i="1"/>
  <c r="A6" i="1"/>
</calcChain>
</file>

<file path=xl/sharedStrings.xml><?xml version="1.0" encoding="utf-8"?>
<sst xmlns="http://schemas.openxmlformats.org/spreadsheetml/2006/main" count="449" uniqueCount="105">
  <si>
    <t>Total Audit vs Fraud Dashboard</t>
  </si>
  <si>
    <t>Big 4 Financial Risk Compliance | Built only from Regression Analysis, Histogram, Correlation &amp; Covariance, and Descriptive Statistics</t>
  </si>
  <si>
    <t>Observations</t>
  </si>
  <si>
    <t>Correlation (r)</t>
  </si>
  <si>
    <t>R Square</t>
  </si>
  <si>
    <t>Significance F</t>
  </si>
  <si>
    <t>Avg Audit Engagements</t>
  </si>
  <si>
    <t>Avg Fraud Cases</t>
  </si>
  <si>
    <t>Regression sample size</t>
  </si>
  <si>
    <t>Weak positive link</t>
  </si>
  <si>
    <t>Explained variance</t>
  </si>
  <si>
    <t>Overall model p-value</t>
  </si>
  <si>
    <t>Descriptive mean</t>
  </si>
  <si>
    <t>Relationship View | Correlation + Regression</t>
  </si>
  <si>
    <t>Distribution View | Histogram</t>
  </si>
  <si>
    <t>Descriptive Statistics Snapshot</t>
  </si>
  <si>
    <t>Regression Summary</t>
  </si>
  <si>
    <t>Correlation &amp; Covariance Snapshot</t>
  </si>
  <si>
    <t>Metric</t>
  </si>
  <si>
    <t>Audit</t>
  </si>
  <si>
    <t>Fraud</t>
  </si>
  <si>
    <t>Multiple R</t>
  </si>
  <si>
    <t>Correlation matrix</t>
  </si>
  <si>
    <t>Mean</t>
  </si>
  <si>
    <t>Median</t>
  </si>
  <si>
    <t>Adjusted R Square</t>
  </si>
  <si>
    <t>Std Deviation</t>
  </si>
  <si>
    <t>Std Error</t>
  </si>
  <si>
    <t>Minimum</t>
  </si>
  <si>
    <t>F Statistic</t>
  </si>
  <si>
    <t>Maximum</t>
  </si>
  <si>
    <t>Covariance</t>
  </si>
  <si>
    <t>Range</t>
  </si>
  <si>
    <t>Intercept</t>
  </si>
  <si>
    <t>Var(Audit)</t>
  </si>
  <si>
    <t>Count</t>
  </si>
  <si>
    <t>Audit Coefficient</t>
  </si>
  <si>
    <t>Var(Fraud)</t>
  </si>
  <si>
    <t>Coeff. P-value</t>
  </si>
  <si>
    <t>Positive covariance and a 0.267 correlation suggest fraud detections generally rise as audit engagement volume increases.</t>
  </si>
  <si>
    <t>Predicted Fraud = 36.26 + 0.0059 x Total Audit Engagements</t>
  </si>
  <si>
    <t>Insight 1</t>
  </si>
  <si>
    <t>Insight 2</t>
  </si>
  <si>
    <t>Insight 3</t>
  </si>
  <si>
    <t>The relationship is positive but modest: r = 0.267, indicating a weak upward association between audit volume and fraud detection.</t>
  </si>
  <si>
    <t>The regression is statistically significant (p = 0.0072), but R square is only 7.1%, so audit volume alone explains a limited share of variation.</t>
  </si>
  <si>
    <t>Fraud detections are widely dispersed (min 5, max 100, standard deviation 28.3), showing materially different risk profiles across observations.</t>
  </si>
  <si>
    <t>Source worksheets used: Regression Analysis | Histogram | Correlation &amp; Covariance | Descriptive Statistics</t>
  </si>
  <si>
    <t>SUMMARY OUTPUT</t>
  </si>
  <si>
    <t>Regression Statistics</t>
  </si>
  <si>
    <t>Standard Error</t>
  </si>
  <si>
    <t>ANOVA</t>
  </si>
  <si>
    <t>df</t>
  </si>
  <si>
    <t>SS</t>
  </si>
  <si>
    <t>MS</t>
  </si>
  <si>
    <t>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</si>
  <si>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</si>
  <si>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</si>
  <si>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</si>
  <si>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</si>
  <si>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</si>
  <si>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</si>
  <si>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</si>
  <si>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</si>
  <si>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</si>
  <si>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</si>
  <si>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Total_Audit_Engagements</t>
  </si>
  <si>
    <t>RESIDUAL OUTPUT</t>
  </si>
  <si>
    <t>PROBABILITY OUTPUT</t>
  </si>
  <si>
    <t>Observation</t>
  </si>
  <si>
    <t>Predicted Fraud_Cases_Detected</t>
  </si>
  <si>
    <t>Residuals</t>
  </si>
  <si>
    <t>Standard Residuals</t>
  </si>
  <si>
    <t>Percentile</t>
  </si>
  <si>
    <t>Fraud_Cases_Detected</t>
  </si>
  <si>
    <t>Bin</t>
  </si>
  <si>
    <t>Frequency</t>
  </si>
  <si>
    <t>Cumulative %</t>
  </si>
  <si>
    <t>More</t>
  </si>
  <si>
    <t>Mode</t>
  </si>
  <si>
    <t>Standard Deviation</t>
  </si>
  <si>
    <t>Sample Variance</t>
  </si>
  <si>
    <t>Kurtosis</t>
  </si>
  <si>
    <t>Skewness</t>
  </si>
  <si>
    <t>Sum</t>
  </si>
  <si>
    <t>Year</t>
  </si>
  <si>
    <t>Firm_Name</t>
  </si>
  <si>
    <t>High_Risk_Cases</t>
  </si>
  <si>
    <t>Compliance_Violations</t>
  </si>
  <si>
    <t>Industry_Affected</t>
  </si>
  <si>
    <t>Total_Revenue_Impact</t>
  </si>
  <si>
    <t>AI_Used_for_Auditing</t>
  </si>
  <si>
    <t>Employee_Workload</t>
  </si>
  <si>
    <t>Audit_Effectiveness_Score</t>
  </si>
  <si>
    <t>Client_Satisfaction_Score</t>
  </si>
  <si>
    <t>PwC</t>
  </si>
  <si>
    <t>Healthcare</t>
  </si>
  <si>
    <t>No</t>
  </si>
  <si>
    <t>Deloitte</t>
  </si>
  <si>
    <t>Yes</t>
  </si>
  <si>
    <t>Finance</t>
  </si>
  <si>
    <t>Retail</t>
  </si>
  <si>
    <t>Tech</t>
  </si>
  <si>
    <t>Ernst &amp; Young</t>
  </si>
  <si>
    <t>KPMG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</si>
</sst>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%"/>
    <numFmt numFmtId="166" formatCode="0.0000"/>
    <numFmt numFmtId="167" formatCode="#,##0.0"/>
    <numFmt numFmtId="168" formatCode="0.0"/>
  </numFmts>
  <fonts count="14" x14ac:knownFonts="1">
    <font>
      <sz val="11"/>
      <color theme="1"/>
      <name val="Aptos Narrow"/>
      <family val="2"/>
      <charset val="1"/>
    </font>
    <font>
      <b/>
      <sz val="24"/>
      <color rgb="FFFFFFFF"/>
      <name val="Calibri"/>
      <charset val="1"/>
    </font>
    <font>
      <sz val="11"/>
      <color rgb="FFD1D5DB"/>
      <name val="Calibri"/>
      <charset val="1"/>
    </font>
    <font>
      <b/>
      <sz val="11"/>
      <color rgb="FFFFFFFF"/>
      <name val="Calibri"/>
      <charset val="1"/>
    </font>
    <font>
      <b/>
      <sz val="20"/>
      <color rgb="FF0F172A"/>
      <name val="Calibri"/>
      <charset val="1"/>
    </font>
    <font>
      <sz val="10"/>
      <color rgb="FF64748B"/>
      <name val="Calibri"/>
      <charset val="1"/>
    </font>
    <font>
      <b/>
      <sz val="11"/>
      <color rgb="FF0F172A"/>
      <name val="Calibri"/>
      <charset val="1"/>
    </font>
    <font>
      <sz val="11"/>
      <color rgb="FF334155"/>
      <name val="Calibri"/>
      <charset val="1"/>
    </font>
    <font>
      <b/>
      <sz val="10"/>
      <color rgb="FF334155"/>
      <name val="Calibri"/>
      <charset val="1"/>
    </font>
    <font>
      <b/>
      <sz val="10"/>
      <color rgb="FF0F172A"/>
      <name val="Calibri"/>
      <charset val="1"/>
    </font>
    <font>
      <sz val="10"/>
      <color rgb="FF334155"/>
      <name val="Calibri"/>
      <charset val="1"/>
    </font>
    <font>
      <i/>
      <sz val="10"/>
      <color rgb="FF0F172A"/>
      <name val="Calibri"/>
      <charset val="1"/>
    </font>
    <font>
      <i/>
      <sz val="9"/>
      <color rgb="FF64748B"/>
      <name val="Calibri"/>
      <charset val="1"/>
    </font>
    <font>
      <i/>
      <sz val="11"/>
      <color theme="1"/>
      <name val="Aptos Narrow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14B8A6"/>
        <bgColor rgb="FF00CCFF"/>
      </patternFill>
    </fill>
    <fill>
      <patternFill patternType="solid">
        <fgColor rgb="FF2563EB"/>
        <bgColor rgb="FF0066CC"/>
      </patternFill>
    </fill>
    <fill>
      <patternFill patternType="solid">
        <fgColor rgb="FF7C3AED"/>
        <bgColor rgb="FF993366"/>
      </patternFill>
    </fill>
    <fill>
      <patternFill patternType="solid">
        <fgColor rgb="FFF59E0B"/>
        <bgColor rgb="FFFFCC00"/>
      </patternFill>
    </fill>
    <fill>
      <patternFill patternType="solid">
        <fgColor rgb="FF334155"/>
        <bgColor rgb="FF333399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E2E8F0"/>
        <bgColor rgb="FFDBEAFE"/>
      </patternFill>
    </fill>
    <fill>
      <patternFill patternType="solid">
        <fgColor rgb="FFCCFBF1"/>
        <bgColor rgb="FFDBEAFE"/>
      </patternFill>
    </fill>
    <fill>
      <patternFill patternType="solid">
        <fgColor rgb="FFFEF3C7"/>
        <bgColor rgb="FFF8FAFC"/>
      </patternFill>
    </fill>
    <fill>
      <patternFill patternType="solid">
        <fgColor rgb="FFDBEAFE"/>
        <bgColor rgb="FFE2E8F0"/>
      </patternFill>
    </fill>
    <fill>
      <patternFill patternType="solid">
        <fgColor rgb="FFEDE9FE"/>
        <bgColor rgb="FFE2E8F0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5" fillId="8" borderId="3" xfId="0" applyFont="1" applyFill="1" applyBorder="1" applyAlignment="1">
      <alignment horizontal="center" vertical="center"/>
    </xf>
    <xf numFmtId="168" fontId="4" fillId="8" borderId="2" xfId="0" applyNumberFormat="1" applyFont="1" applyFill="1" applyBorder="1" applyAlignment="1">
      <alignment horizontal="center" vertical="center"/>
    </xf>
    <xf numFmtId="167" fontId="4" fillId="8" borderId="2" xfId="0" applyNumberFormat="1" applyFont="1" applyFill="1" applyBorder="1" applyAlignment="1">
      <alignment horizontal="center" vertical="center"/>
    </xf>
    <xf numFmtId="166" fontId="4" fillId="8" borderId="2" xfId="0" applyNumberFormat="1" applyFont="1" applyFill="1" applyBorder="1" applyAlignment="1">
      <alignment horizontal="center" vertical="center"/>
    </xf>
    <xf numFmtId="165" fontId="4" fillId="8" borderId="2" xfId="0" applyNumberFormat="1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3" fontId="4" fillId="8" borderId="2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3" borderId="0" xfId="0" applyFill="1"/>
    <xf numFmtId="0" fontId="0" fillId="9" borderId="0" xfId="0" applyFill="1"/>
    <xf numFmtId="0" fontId="0" fillId="8" borderId="4" xfId="0" applyFill="1" applyBorder="1"/>
    <xf numFmtId="0" fontId="0" fillId="8" borderId="0" xfId="0" applyFill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13" fillId="0" borderId="9" xfId="0" applyFont="1" applyBorder="1" applyAlignment="1">
      <alignment horizontal="center"/>
    </xf>
    <xf numFmtId="0" fontId="0" fillId="0" borderId="10" xfId="0" applyBorder="1"/>
    <xf numFmtId="10" fontId="0" fillId="0" borderId="0" xfId="0" applyNumberFormat="1"/>
    <xf numFmtId="10" fontId="0" fillId="0" borderId="10" xfId="0" applyNumberFormat="1" applyBorder="1"/>
    <xf numFmtId="0" fontId="3" fillId="2" borderId="1" xfId="0" applyFont="1" applyFill="1" applyBorder="1" applyAlignment="1">
      <alignment horizontal="left" vertical="center" indent="1"/>
    </xf>
    <xf numFmtId="0" fontId="6" fillId="10" borderId="4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left" vertical="center" indent="1"/>
    </xf>
    <xf numFmtId="164" fontId="6" fillId="9" borderId="5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 indent="1"/>
    </xf>
    <xf numFmtId="167" fontId="6" fillId="9" borderId="0" xfId="0" applyNumberFormat="1" applyFont="1" applyFill="1" applyAlignment="1">
      <alignment horizontal="center" vertical="center"/>
    </xf>
    <xf numFmtId="168" fontId="6" fillId="9" borderId="5" xfId="0" applyNumberFormat="1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left" vertical="center" indent="1"/>
    </xf>
    <xf numFmtId="165" fontId="6" fillId="8" borderId="5" xfId="0" applyNumberFormat="1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3" fontId="6" fillId="8" borderId="0" xfId="0" applyNumberFormat="1" applyFont="1" applyFill="1" applyAlignment="1">
      <alignment horizontal="center" vertical="center"/>
    </xf>
    <xf numFmtId="3" fontId="6" fillId="8" borderId="5" xfId="0" applyNumberFormat="1" applyFont="1" applyFill="1" applyBorder="1" applyAlignment="1">
      <alignment horizontal="center" vertical="center"/>
    </xf>
    <xf numFmtId="165" fontId="6" fillId="9" borderId="5" xfId="0" applyNumberFormat="1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6" fillId="11" borderId="5" xfId="0" applyNumberFormat="1" applyFont="1" applyFill="1" applyBorder="1" applyAlignment="1">
      <alignment horizontal="center" vertical="center"/>
    </xf>
    <xf numFmtId="2" fontId="6" fillId="8" borderId="5" xfId="0" applyNumberFormat="1" applyFont="1" applyFill="1" applyBorder="1" applyAlignment="1">
      <alignment horizontal="center" vertical="center"/>
    </xf>
    <xf numFmtId="164" fontId="6" fillId="11" borderId="0" xfId="0" applyNumberFormat="1" applyFont="1" applyFill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3" fontId="6" fillId="9" borderId="0" xfId="0" applyNumberFormat="1" applyFont="1" applyFill="1" applyAlignment="1">
      <alignment horizontal="center" vertical="center"/>
    </xf>
    <xf numFmtId="3" fontId="6" fillId="9" borderId="5" xfId="0" applyNumberFormat="1" applyFont="1" applyFill="1" applyBorder="1" applyAlignment="1">
      <alignment horizontal="center" vertical="center"/>
    </xf>
    <xf numFmtId="166" fontId="6" fillId="8" borderId="5" xfId="0" applyNumberFormat="1" applyFont="1" applyFill="1" applyBorder="1" applyAlignment="1">
      <alignment horizontal="center" vertical="center"/>
    </xf>
    <xf numFmtId="167" fontId="6" fillId="9" borderId="5" xfId="0" applyNumberFormat="1" applyFont="1" applyFill="1" applyBorder="1" applyAlignment="1">
      <alignment horizontal="center" vertical="center"/>
    </xf>
    <xf numFmtId="2" fontId="6" fillId="9" borderId="5" xfId="0" applyNumberFormat="1" applyFont="1" applyFill="1" applyBorder="1" applyAlignment="1">
      <alignment horizontal="center" vertical="center"/>
    </xf>
    <xf numFmtId="167" fontId="6" fillId="8" borderId="5" xfId="0" applyNumberFormat="1" applyFont="1" applyFill="1" applyBorder="1" applyAlignment="1">
      <alignment horizontal="center" vertical="center"/>
    </xf>
    <xf numFmtId="166" fontId="6" fillId="9" borderId="5" xfId="0" applyNumberFormat="1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 indent="1"/>
    </xf>
    <xf numFmtId="0" fontId="11" fillId="1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10" fillId="13" borderId="3" xfId="0" applyFont="1" applyFill="1" applyBorder="1" applyAlignment="1">
      <alignment horizontal="left" vertical="top" wrapText="1" indent="1"/>
    </xf>
    <xf numFmtId="0" fontId="10" fillId="14" borderId="3" xfId="0" applyFont="1" applyFill="1" applyBorder="1" applyAlignment="1">
      <alignment horizontal="left" vertical="top" wrapText="1" indent="1"/>
    </xf>
    <xf numFmtId="0" fontId="10" fillId="11" borderId="3" xfId="0" applyFont="1" applyFill="1" applyBorder="1" applyAlignment="1">
      <alignment horizontal="left" vertical="top" wrapText="1" indent="1"/>
    </xf>
    <xf numFmtId="0" fontId="12" fillId="9" borderId="0" xfId="0" applyFont="1" applyFill="1" applyAlignment="1">
      <alignment horizontal="center" vertical="center"/>
    </xf>
    <xf numFmtId="0" fontId="1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D1D5DB"/>
      <rgbColor rgb="FF8B8B8B"/>
      <rgbColor rgb="FF9999FF"/>
      <rgbColor rgb="FF7C3AED"/>
      <rgbColor rgb="FFFEF3C7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8FAFC"/>
      <rgbColor rgb="FFEDE9FE"/>
      <rgbColor rgb="FFFF99CC"/>
      <rgbColor rgb="FFCC99FF"/>
      <rgbColor rgb="FFD9D9D9"/>
      <rgbColor rgb="FF2563EB"/>
      <rgbColor rgb="FF14B8A6"/>
      <rgbColor rgb="FF99CC00"/>
      <rgbColor rgb="FFFFCC00"/>
      <rgbColor rgb="FFF59E0B"/>
      <rgbColor rgb="FFE97132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Total_Audit_Engagements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6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'Big 4 Financial risk compliance'!$C$2:$C$101</c:f>
              <c:numCache>
                <c:formatCode>General</c:formatCode>
                <c:ptCount val="100"/>
                <c:pt idx="0">
                  <c:v>2829</c:v>
                </c:pt>
                <c:pt idx="1">
                  <c:v>3589</c:v>
                </c:pt>
                <c:pt idx="2">
                  <c:v>2438</c:v>
                </c:pt>
                <c:pt idx="3">
                  <c:v>2646</c:v>
                </c:pt>
                <c:pt idx="4">
                  <c:v>2680</c:v>
                </c:pt>
                <c:pt idx="5">
                  <c:v>818</c:v>
                </c:pt>
                <c:pt idx="6">
                  <c:v>1199</c:v>
                </c:pt>
                <c:pt idx="7">
                  <c:v>4092</c:v>
                </c:pt>
                <c:pt idx="8">
                  <c:v>4156</c:v>
                </c:pt>
                <c:pt idx="9">
                  <c:v>2490</c:v>
                </c:pt>
                <c:pt idx="10">
                  <c:v>1497</c:v>
                </c:pt>
                <c:pt idx="11">
                  <c:v>2712</c:v>
                </c:pt>
                <c:pt idx="12">
                  <c:v>2885</c:v>
                </c:pt>
                <c:pt idx="13">
                  <c:v>2267</c:v>
                </c:pt>
                <c:pt idx="14">
                  <c:v>2333</c:v>
                </c:pt>
                <c:pt idx="15">
                  <c:v>3490</c:v>
                </c:pt>
                <c:pt idx="16">
                  <c:v>3264</c:v>
                </c:pt>
                <c:pt idx="17">
                  <c:v>4813</c:v>
                </c:pt>
                <c:pt idx="18">
                  <c:v>2804</c:v>
                </c:pt>
                <c:pt idx="19">
                  <c:v>2239</c:v>
                </c:pt>
                <c:pt idx="20">
                  <c:v>1581</c:v>
                </c:pt>
                <c:pt idx="21">
                  <c:v>760</c:v>
                </c:pt>
                <c:pt idx="22">
                  <c:v>2238</c:v>
                </c:pt>
                <c:pt idx="23">
                  <c:v>1760</c:v>
                </c:pt>
                <c:pt idx="24">
                  <c:v>4103</c:v>
                </c:pt>
                <c:pt idx="25">
                  <c:v>4470</c:v>
                </c:pt>
                <c:pt idx="26">
                  <c:v>2515</c:v>
                </c:pt>
                <c:pt idx="27">
                  <c:v>3852</c:v>
                </c:pt>
                <c:pt idx="28">
                  <c:v>4773</c:v>
                </c:pt>
                <c:pt idx="29">
                  <c:v>3571</c:v>
                </c:pt>
                <c:pt idx="30">
                  <c:v>2030</c:v>
                </c:pt>
                <c:pt idx="31">
                  <c:v>811</c:v>
                </c:pt>
                <c:pt idx="32">
                  <c:v>1727</c:v>
                </c:pt>
                <c:pt idx="33">
                  <c:v>4481</c:v>
                </c:pt>
                <c:pt idx="34">
                  <c:v>4287</c:v>
                </c:pt>
                <c:pt idx="35">
                  <c:v>3560</c:v>
                </c:pt>
                <c:pt idx="36">
                  <c:v>3449</c:v>
                </c:pt>
                <c:pt idx="37">
                  <c:v>4324</c:v>
                </c:pt>
                <c:pt idx="38">
                  <c:v>2245</c:v>
                </c:pt>
                <c:pt idx="39">
                  <c:v>603</c:v>
                </c:pt>
                <c:pt idx="40">
                  <c:v>3981</c:v>
                </c:pt>
                <c:pt idx="41">
                  <c:v>1119</c:v>
                </c:pt>
                <c:pt idx="42">
                  <c:v>3076</c:v>
                </c:pt>
                <c:pt idx="43">
                  <c:v>3958</c:v>
                </c:pt>
                <c:pt idx="44">
                  <c:v>1578</c:v>
                </c:pt>
                <c:pt idx="45">
                  <c:v>4570</c:v>
                </c:pt>
                <c:pt idx="46">
                  <c:v>718</c:v>
                </c:pt>
                <c:pt idx="47">
                  <c:v>4601</c:v>
                </c:pt>
                <c:pt idx="48">
                  <c:v>4775</c:v>
                </c:pt>
                <c:pt idx="49">
                  <c:v>4340</c:v>
                </c:pt>
                <c:pt idx="50">
                  <c:v>4327</c:v>
                </c:pt>
                <c:pt idx="51">
                  <c:v>1695</c:v>
                </c:pt>
                <c:pt idx="52">
                  <c:v>995</c:v>
                </c:pt>
                <c:pt idx="53">
                  <c:v>3101</c:v>
                </c:pt>
                <c:pt idx="54">
                  <c:v>1992</c:v>
                </c:pt>
                <c:pt idx="55">
                  <c:v>2506</c:v>
                </c:pt>
                <c:pt idx="56">
                  <c:v>2556</c:v>
                </c:pt>
                <c:pt idx="57">
                  <c:v>4390</c:v>
                </c:pt>
                <c:pt idx="58">
                  <c:v>4401</c:v>
                </c:pt>
                <c:pt idx="59">
                  <c:v>1275</c:v>
                </c:pt>
                <c:pt idx="60">
                  <c:v>3630</c:v>
                </c:pt>
                <c:pt idx="61">
                  <c:v>2654</c:v>
                </c:pt>
                <c:pt idx="62">
                  <c:v>1810</c:v>
                </c:pt>
                <c:pt idx="63">
                  <c:v>2208</c:v>
                </c:pt>
                <c:pt idx="64">
                  <c:v>2133</c:v>
                </c:pt>
                <c:pt idx="65">
                  <c:v>2183</c:v>
                </c:pt>
                <c:pt idx="66">
                  <c:v>1924</c:v>
                </c:pt>
                <c:pt idx="67">
                  <c:v>4624</c:v>
                </c:pt>
                <c:pt idx="68">
                  <c:v>1825</c:v>
                </c:pt>
                <c:pt idx="69">
                  <c:v>1069</c:v>
                </c:pt>
                <c:pt idx="70">
                  <c:v>2283</c:v>
                </c:pt>
                <c:pt idx="71">
                  <c:v>4784</c:v>
                </c:pt>
                <c:pt idx="72">
                  <c:v>2861</c:v>
                </c:pt>
                <c:pt idx="73">
                  <c:v>3616</c:v>
                </c:pt>
                <c:pt idx="74">
                  <c:v>4452</c:v>
                </c:pt>
                <c:pt idx="75">
                  <c:v>1078</c:v>
                </c:pt>
                <c:pt idx="76">
                  <c:v>1286</c:v>
                </c:pt>
                <c:pt idx="77">
                  <c:v>1574</c:v>
                </c:pt>
                <c:pt idx="78">
                  <c:v>1076</c:v>
                </c:pt>
                <c:pt idx="79">
                  <c:v>3305</c:v>
                </c:pt>
                <c:pt idx="80">
                  <c:v>912</c:v>
                </c:pt>
                <c:pt idx="81">
                  <c:v>1516</c:v>
                </c:pt>
                <c:pt idx="82">
                  <c:v>1012</c:v>
                </c:pt>
                <c:pt idx="83">
                  <c:v>3230</c:v>
                </c:pt>
                <c:pt idx="84">
                  <c:v>2503</c:v>
                </c:pt>
                <c:pt idx="85">
                  <c:v>4946</c:v>
                </c:pt>
                <c:pt idx="86">
                  <c:v>4606</c:v>
                </c:pt>
                <c:pt idx="87">
                  <c:v>1771</c:v>
                </c:pt>
                <c:pt idx="88">
                  <c:v>2676</c:v>
                </c:pt>
                <c:pt idx="89">
                  <c:v>962</c:v>
                </c:pt>
                <c:pt idx="90">
                  <c:v>1925</c:v>
                </c:pt>
                <c:pt idx="91">
                  <c:v>2919</c:v>
                </c:pt>
                <c:pt idx="92">
                  <c:v>4595</c:v>
                </c:pt>
                <c:pt idx="93">
                  <c:v>797</c:v>
                </c:pt>
                <c:pt idx="94">
                  <c:v>4895</c:v>
                </c:pt>
                <c:pt idx="95">
                  <c:v>4179</c:v>
                </c:pt>
                <c:pt idx="96">
                  <c:v>2119</c:v>
                </c:pt>
                <c:pt idx="97">
                  <c:v>3810</c:v>
                </c:pt>
                <c:pt idx="98">
                  <c:v>1896</c:v>
                </c:pt>
                <c:pt idx="99">
                  <c:v>4473</c:v>
                </c:pt>
              </c:numCache>
            </c:numRef>
          </c:xVal>
          <c:yVal>
            <c:numRef>
              <c:f>'Regression Analysis'!$C$25:$C$124</c:f>
              <c:numCache>
                <c:formatCode>General</c:formatCode>
                <c:ptCount val="100"/>
                <c:pt idx="0">
                  <c:v>-13.9626754310755</c:v>
                </c:pt>
                <c:pt idx="1">
                  <c:v>2.54916522500814</c:v>
                </c:pt>
                <c:pt idx="2">
                  <c:v>46.346364441913003</c:v>
                </c:pt>
                <c:pt idx="3">
                  <c:v>45.118026095156999</c:v>
                </c:pt>
                <c:pt idx="4">
                  <c:v>-6.0827599807550898</c:v>
                </c:pt>
                <c:pt idx="5">
                  <c:v>-11.0867695881601</c:v>
                </c:pt>
                <c:pt idx="6">
                  <c:v>-32.336754732939198</c:v>
                </c:pt>
                <c:pt idx="7">
                  <c:v>8.5787123960740406</c:v>
                </c:pt>
                <c:pt idx="8">
                  <c:v>34.200762135533701</c:v>
                </c:pt>
                <c:pt idx="9">
                  <c:v>-28.960720144776001</c:v>
                </c:pt>
                <c:pt idx="10">
                  <c:v>-35.096585633580098</c:v>
                </c:pt>
                <c:pt idx="11">
                  <c:v>8.7282648889747492</c:v>
                </c:pt>
                <c:pt idx="12">
                  <c:v>38.7066180909517</c:v>
                </c:pt>
                <c:pt idx="13">
                  <c:v>-7.6437997057058196</c:v>
                </c:pt>
                <c:pt idx="14">
                  <c:v>-33.033560911888003</c:v>
                </c:pt>
                <c:pt idx="15">
                  <c:v>5.1338070342814497</c:v>
                </c:pt>
                <c:pt idx="16">
                  <c:v>-37.531556108185498</c:v>
                </c:pt>
                <c:pt idx="17">
                  <c:v>-0.67913350782554005</c:v>
                </c:pt>
                <c:pt idx="18">
                  <c:v>-16.815038610552001</c:v>
                </c:pt>
                <c:pt idx="19">
                  <c:v>-35.478446466719397</c:v>
                </c:pt>
                <c:pt idx="20">
                  <c:v>26.4073546494608</c:v>
                </c:pt>
                <c:pt idx="21">
                  <c:v>28.255747835454599</c:v>
                </c:pt>
                <c:pt idx="22">
                  <c:v>29.527459006101498</c:v>
                </c:pt>
                <c:pt idx="23">
                  <c:v>-35.649724985488</c:v>
                </c:pt>
                <c:pt idx="24">
                  <c:v>-30.486247804956299</c:v>
                </c:pt>
                <c:pt idx="25">
                  <c:v>-8.6535563302422496</c:v>
                </c:pt>
                <c:pt idx="26">
                  <c:v>42.891643034700401</c:v>
                </c:pt>
                <c:pt idx="27">
                  <c:v>-47.003974126899799</c:v>
                </c:pt>
                <c:pt idx="28">
                  <c:v>-8.4429145949878404</c:v>
                </c:pt>
                <c:pt idx="29">
                  <c:v>32.655463735785098</c:v>
                </c:pt>
                <c:pt idx="30">
                  <c:v>-30.244202647142401</c:v>
                </c:pt>
                <c:pt idx="31">
                  <c:v>52.954568721586497</c:v>
                </c:pt>
                <c:pt idx="32">
                  <c:v>-26.4548443823968</c:v>
                </c:pt>
                <c:pt idx="33">
                  <c:v>-30.718516531272599</c:v>
                </c:pt>
                <c:pt idx="34">
                  <c:v>4.4271451959902404</c:v>
                </c:pt>
                <c:pt idx="35">
                  <c:v>-15.2795760631845</c:v>
                </c:pt>
                <c:pt idx="36">
                  <c:v>-14.6240685800599</c:v>
                </c:pt>
                <c:pt idx="37">
                  <c:v>-35.791357298384597</c:v>
                </c:pt>
                <c:pt idx="38">
                  <c:v>-36.513879303645098</c:v>
                </c:pt>
                <c:pt idx="39">
                  <c:v>-19.817092931657399</c:v>
                </c:pt>
                <c:pt idx="40">
                  <c:v>3.2342198791986601</c:v>
                </c:pt>
                <c:pt idx="41">
                  <c:v>-2.86431690726377</c:v>
                </c:pt>
                <c:pt idx="42">
                  <c:v>24.578672782151699</c:v>
                </c:pt>
                <c:pt idx="43">
                  <c:v>34.370045754080301</c:v>
                </c:pt>
                <c:pt idx="44">
                  <c:v>2.4250710679236001</c:v>
                </c:pt>
                <c:pt idx="45">
                  <c:v>-57.244103612336502</c:v>
                </c:pt>
                <c:pt idx="46">
                  <c:v>-26.4962223060658</c:v>
                </c:pt>
                <c:pt idx="47">
                  <c:v>-35.427173269785698</c:v>
                </c:pt>
                <c:pt idx="48">
                  <c:v>22.545274459370301</c:v>
                </c:pt>
                <c:pt idx="49">
                  <c:v>8.1141551364802798</c:v>
                </c:pt>
                <c:pt idx="50">
                  <c:v>24.1909262831525</c:v>
                </c:pt>
                <c:pt idx="51">
                  <c:v>14.7341307478733</c:v>
                </c:pt>
                <c:pt idx="52">
                  <c:v>-17.132038277466901</c:v>
                </c:pt>
                <c:pt idx="53">
                  <c:v>-18.568964038371899</c:v>
                </c:pt>
                <c:pt idx="54">
                  <c:v>44.9802053200534</c:v>
                </c:pt>
                <c:pt idx="55">
                  <c:v>42.944792290088898</c:v>
                </c:pt>
                <c:pt idx="56">
                  <c:v>39.649518649041802</c:v>
                </c:pt>
                <c:pt idx="57">
                  <c:v>-11.1811185045668</c:v>
                </c:pt>
                <c:pt idx="58">
                  <c:v>-17.246078705597199</c:v>
                </c:pt>
                <c:pt idx="59">
                  <c:v>56.214429332669198</c:v>
                </c:pt>
                <c:pt idx="60">
                  <c:v>-33.692959160650503</c:v>
                </c:pt>
                <c:pt idx="61">
                  <c:v>21.070782312589401</c:v>
                </c:pt>
                <c:pt idx="62">
                  <c:v>7.0550013734649299</c:v>
                </c:pt>
                <c:pt idx="63">
                  <c:v>22.704623190729802</c:v>
                </c:pt>
                <c:pt idx="64">
                  <c:v>1.14753365230048</c:v>
                </c:pt>
                <c:pt idx="65">
                  <c:v>-22.147739988746601</c:v>
                </c:pt>
                <c:pt idx="66">
                  <c:v>-14.6182225281225</c:v>
                </c:pt>
                <c:pt idx="67">
                  <c:v>-13.562999144667399</c:v>
                </c:pt>
                <c:pt idx="68">
                  <c:v>32.966419281150799</c:v>
                </c:pt>
                <c:pt idx="69">
                  <c:v>-31.569043266216699</c:v>
                </c:pt>
                <c:pt idx="70">
                  <c:v>32.2617127291591</c:v>
                </c:pt>
                <c:pt idx="71">
                  <c:v>8.4921252039818</c:v>
                </c:pt>
                <c:pt idx="72">
                  <c:v>17.848349438654299</c:v>
                </c:pt>
                <c:pt idx="73">
                  <c:v>9.3897174588426804</c:v>
                </c:pt>
                <c:pt idx="74">
                  <c:v>19.452742180534699</c:v>
                </c:pt>
                <c:pt idx="75">
                  <c:v>-37.622192521605101</c:v>
                </c:pt>
                <c:pt idx="76">
                  <c:v>16.149469131638799</c:v>
                </c:pt>
                <c:pt idx="77">
                  <c:v>4.4486929592073601</c:v>
                </c:pt>
                <c:pt idx="78">
                  <c:v>-25.610381575963299</c:v>
                </c:pt>
                <c:pt idx="79">
                  <c:v>25.2263195061558</c:v>
                </c:pt>
                <c:pt idx="80">
                  <c:v>-21.641884033328701</c:v>
                </c:pt>
                <c:pt idx="81">
                  <c:v>-8.2087896171779597</c:v>
                </c:pt>
                <c:pt idx="82">
                  <c:v>-7.2324313154229198</c:v>
                </c:pt>
                <c:pt idx="83">
                  <c:v>35.669229967726501</c:v>
                </c:pt>
                <c:pt idx="84">
                  <c:v>10.962508708551701</c:v>
                </c:pt>
                <c:pt idx="85">
                  <c:v>0.53543860698910395</c:v>
                </c:pt>
                <c:pt idx="86">
                  <c:v>26.543299366109601</c:v>
                </c:pt>
                <c:pt idx="87">
                  <c:v>-13.714685186518301</c:v>
                </c:pt>
                <c:pt idx="88">
                  <c:v>29.940861910528699</c:v>
                </c:pt>
                <c:pt idx="89">
                  <c:v>-20.937157674375801</c:v>
                </c:pt>
                <c:pt idx="90">
                  <c:v>4.3758719990565398</c:v>
                </c:pt>
                <c:pt idx="91">
                  <c:v>45.505832015039601</c:v>
                </c:pt>
                <c:pt idx="92">
                  <c:v>-9.3917404328600593</c:v>
                </c:pt>
                <c:pt idx="93">
                  <c:v>-13.9627546589203</c:v>
                </c:pt>
                <c:pt idx="94">
                  <c:v>-55.163382279142802</c:v>
                </c:pt>
                <c:pt idx="95">
                  <c:v>8.0649362606520292</c:v>
                </c:pt>
                <c:pt idx="96">
                  <c:v>10.2302102717937</c:v>
                </c:pt>
                <c:pt idx="97">
                  <c:v>37.244055731579799</c:v>
                </c:pt>
                <c:pt idx="98">
                  <c:v>-33.452869289136103</c:v>
                </c:pt>
                <c:pt idx="99">
                  <c:v>-4.6712727487050802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11-477E-AF20-307EC5239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41193"/>
        <c:axId val="14870948"/>
      </c:scatterChart>
      <c:valAx>
        <c:axId val="616411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Total_Audit_Engagements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14870948"/>
        <c:crosses val="autoZero"/>
        <c:crossBetween val="midCat"/>
      </c:valAx>
      <c:valAx>
        <c:axId val="1487094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6164119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Total_Audit_Engagements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Fraud_Cases_Detected</c:v>
          </c:tx>
          <c:spPr>
            <a:ln w="3816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'Big 4 Financial risk compliance'!$C$2:$C$101</c:f>
              <c:numCache>
                <c:formatCode>General</c:formatCode>
                <c:ptCount val="100"/>
                <c:pt idx="0">
                  <c:v>2829</c:v>
                </c:pt>
                <c:pt idx="1">
                  <c:v>3589</c:v>
                </c:pt>
                <c:pt idx="2">
                  <c:v>2438</c:v>
                </c:pt>
                <c:pt idx="3">
                  <c:v>2646</c:v>
                </c:pt>
                <c:pt idx="4">
                  <c:v>2680</c:v>
                </c:pt>
                <c:pt idx="5">
                  <c:v>818</c:v>
                </c:pt>
                <c:pt idx="6">
                  <c:v>1199</c:v>
                </c:pt>
                <c:pt idx="7">
                  <c:v>4092</c:v>
                </c:pt>
                <c:pt idx="8">
                  <c:v>4156</c:v>
                </c:pt>
                <c:pt idx="9">
                  <c:v>2490</c:v>
                </c:pt>
                <c:pt idx="10">
                  <c:v>1497</c:v>
                </c:pt>
                <c:pt idx="11">
                  <c:v>2712</c:v>
                </c:pt>
                <c:pt idx="12">
                  <c:v>2885</c:v>
                </c:pt>
                <c:pt idx="13">
                  <c:v>2267</c:v>
                </c:pt>
                <c:pt idx="14">
                  <c:v>2333</c:v>
                </c:pt>
                <c:pt idx="15">
                  <c:v>3490</c:v>
                </c:pt>
                <c:pt idx="16">
                  <c:v>3264</c:v>
                </c:pt>
                <c:pt idx="17">
                  <c:v>4813</c:v>
                </c:pt>
                <c:pt idx="18">
                  <c:v>2804</c:v>
                </c:pt>
                <c:pt idx="19">
                  <c:v>2239</c:v>
                </c:pt>
                <c:pt idx="20">
                  <c:v>1581</c:v>
                </c:pt>
                <c:pt idx="21">
                  <c:v>760</c:v>
                </c:pt>
                <c:pt idx="22">
                  <c:v>2238</c:v>
                </c:pt>
                <c:pt idx="23">
                  <c:v>1760</c:v>
                </c:pt>
                <c:pt idx="24">
                  <c:v>4103</c:v>
                </c:pt>
                <c:pt idx="25">
                  <c:v>4470</c:v>
                </c:pt>
                <c:pt idx="26">
                  <c:v>2515</c:v>
                </c:pt>
                <c:pt idx="27">
                  <c:v>3852</c:v>
                </c:pt>
                <c:pt idx="28">
                  <c:v>4773</c:v>
                </c:pt>
                <c:pt idx="29">
                  <c:v>3571</c:v>
                </c:pt>
                <c:pt idx="30">
                  <c:v>2030</c:v>
                </c:pt>
                <c:pt idx="31">
                  <c:v>811</c:v>
                </c:pt>
                <c:pt idx="32">
                  <c:v>1727</c:v>
                </c:pt>
                <c:pt idx="33">
                  <c:v>4481</c:v>
                </c:pt>
                <c:pt idx="34">
                  <c:v>4287</c:v>
                </c:pt>
                <c:pt idx="35">
                  <c:v>3560</c:v>
                </c:pt>
                <c:pt idx="36">
                  <c:v>3449</c:v>
                </c:pt>
                <c:pt idx="37">
                  <c:v>4324</c:v>
                </c:pt>
                <c:pt idx="38">
                  <c:v>2245</c:v>
                </c:pt>
                <c:pt idx="39">
                  <c:v>603</c:v>
                </c:pt>
                <c:pt idx="40">
                  <c:v>3981</c:v>
                </c:pt>
                <c:pt idx="41">
                  <c:v>1119</c:v>
                </c:pt>
                <c:pt idx="42">
                  <c:v>3076</c:v>
                </c:pt>
                <c:pt idx="43">
                  <c:v>3958</c:v>
                </c:pt>
                <c:pt idx="44">
                  <c:v>1578</c:v>
                </c:pt>
                <c:pt idx="45">
                  <c:v>4570</c:v>
                </c:pt>
                <c:pt idx="46">
                  <c:v>718</c:v>
                </c:pt>
                <c:pt idx="47">
                  <c:v>4601</c:v>
                </c:pt>
                <c:pt idx="48">
                  <c:v>4775</c:v>
                </c:pt>
                <c:pt idx="49">
                  <c:v>4340</c:v>
                </c:pt>
                <c:pt idx="50">
                  <c:v>4327</c:v>
                </c:pt>
                <c:pt idx="51">
                  <c:v>1695</c:v>
                </c:pt>
                <c:pt idx="52">
                  <c:v>995</c:v>
                </c:pt>
                <c:pt idx="53">
                  <c:v>3101</c:v>
                </c:pt>
                <c:pt idx="54">
                  <c:v>1992</c:v>
                </c:pt>
                <c:pt idx="55">
                  <c:v>2506</c:v>
                </c:pt>
                <c:pt idx="56">
                  <c:v>2556</c:v>
                </c:pt>
                <c:pt idx="57">
                  <c:v>4390</c:v>
                </c:pt>
                <c:pt idx="58">
                  <c:v>4401</c:v>
                </c:pt>
                <c:pt idx="59">
                  <c:v>1275</c:v>
                </c:pt>
                <c:pt idx="60">
                  <c:v>3630</c:v>
                </c:pt>
                <c:pt idx="61">
                  <c:v>2654</c:v>
                </c:pt>
                <c:pt idx="62">
                  <c:v>1810</c:v>
                </c:pt>
                <c:pt idx="63">
                  <c:v>2208</c:v>
                </c:pt>
                <c:pt idx="64">
                  <c:v>2133</c:v>
                </c:pt>
                <c:pt idx="65">
                  <c:v>2183</c:v>
                </c:pt>
                <c:pt idx="66">
                  <c:v>1924</c:v>
                </c:pt>
                <c:pt idx="67">
                  <c:v>4624</c:v>
                </c:pt>
                <c:pt idx="68">
                  <c:v>1825</c:v>
                </c:pt>
                <c:pt idx="69">
                  <c:v>1069</c:v>
                </c:pt>
                <c:pt idx="70">
                  <c:v>2283</c:v>
                </c:pt>
                <c:pt idx="71">
                  <c:v>4784</c:v>
                </c:pt>
                <c:pt idx="72">
                  <c:v>2861</c:v>
                </c:pt>
                <c:pt idx="73">
                  <c:v>3616</c:v>
                </c:pt>
                <c:pt idx="74">
                  <c:v>4452</c:v>
                </c:pt>
                <c:pt idx="75">
                  <c:v>1078</c:v>
                </c:pt>
                <c:pt idx="76">
                  <c:v>1286</c:v>
                </c:pt>
                <c:pt idx="77">
                  <c:v>1574</c:v>
                </c:pt>
                <c:pt idx="78">
                  <c:v>1076</c:v>
                </c:pt>
                <c:pt idx="79">
                  <c:v>3305</c:v>
                </c:pt>
                <c:pt idx="80">
                  <c:v>912</c:v>
                </c:pt>
                <c:pt idx="81">
                  <c:v>1516</c:v>
                </c:pt>
                <c:pt idx="82">
                  <c:v>1012</c:v>
                </c:pt>
                <c:pt idx="83">
                  <c:v>3230</c:v>
                </c:pt>
                <c:pt idx="84">
                  <c:v>2503</c:v>
                </c:pt>
                <c:pt idx="85">
                  <c:v>4946</c:v>
                </c:pt>
                <c:pt idx="86">
                  <c:v>4606</c:v>
                </c:pt>
                <c:pt idx="87">
                  <c:v>1771</c:v>
                </c:pt>
                <c:pt idx="88">
                  <c:v>2676</c:v>
                </c:pt>
                <c:pt idx="89">
                  <c:v>962</c:v>
                </c:pt>
                <c:pt idx="90">
                  <c:v>1925</c:v>
                </c:pt>
                <c:pt idx="91">
                  <c:v>2919</c:v>
                </c:pt>
                <c:pt idx="92">
                  <c:v>4595</c:v>
                </c:pt>
                <c:pt idx="93">
                  <c:v>797</c:v>
                </c:pt>
                <c:pt idx="94">
                  <c:v>4895</c:v>
                </c:pt>
                <c:pt idx="95">
                  <c:v>4179</c:v>
                </c:pt>
                <c:pt idx="96">
                  <c:v>2119</c:v>
                </c:pt>
                <c:pt idx="97">
                  <c:v>3810</c:v>
                </c:pt>
                <c:pt idx="98">
                  <c:v>1896</c:v>
                </c:pt>
                <c:pt idx="99">
                  <c:v>4473</c:v>
                </c:pt>
              </c:numCache>
            </c:numRef>
          </c:xVal>
          <c:yVal>
            <c:numRef>
              <c:f>'Big 4 Financial risk compliance'!$F$2:$F$101</c:f>
              <c:numCache>
                <c:formatCode>General</c:formatCode>
                <c:ptCount val="100"/>
                <c:pt idx="0">
                  <c:v>39</c:v>
                </c:pt>
                <c:pt idx="1">
                  <c:v>60</c:v>
                </c:pt>
                <c:pt idx="2">
                  <c:v>97</c:v>
                </c:pt>
                <c:pt idx="3">
                  <c:v>97</c:v>
                </c:pt>
                <c:pt idx="4">
                  <c:v>46</c:v>
                </c:pt>
                <c:pt idx="5">
                  <c:v>30</c:v>
                </c:pt>
                <c:pt idx="6">
                  <c:v>11</c:v>
                </c:pt>
                <c:pt idx="7">
                  <c:v>69</c:v>
                </c:pt>
                <c:pt idx="8">
                  <c:v>95</c:v>
                </c:pt>
                <c:pt idx="9">
                  <c:v>22</c:v>
                </c:pt>
                <c:pt idx="10">
                  <c:v>10</c:v>
                </c:pt>
                <c:pt idx="11">
                  <c:v>61</c:v>
                </c:pt>
                <c:pt idx="12">
                  <c:v>92</c:v>
                </c:pt>
                <c:pt idx="13">
                  <c:v>42</c:v>
                </c:pt>
                <c:pt idx="14">
                  <c:v>17</c:v>
                </c:pt>
                <c:pt idx="15">
                  <c:v>62</c:v>
                </c:pt>
                <c:pt idx="16">
                  <c:v>18</c:v>
                </c:pt>
                <c:pt idx="17">
                  <c:v>64</c:v>
                </c:pt>
                <c:pt idx="18">
                  <c:v>36</c:v>
                </c:pt>
                <c:pt idx="19">
                  <c:v>14</c:v>
                </c:pt>
                <c:pt idx="20">
                  <c:v>72</c:v>
                </c:pt>
                <c:pt idx="21">
                  <c:v>69</c:v>
                </c:pt>
                <c:pt idx="22">
                  <c:v>79</c:v>
                </c:pt>
                <c:pt idx="23">
                  <c:v>11</c:v>
                </c:pt>
                <c:pt idx="24">
                  <c:v>30</c:v>
                </c:pt>
                <c:pt idx="25">
                  <c:v>54</c:v>
                </c:pt>
                <c:pt idx="26">
                  <c:v>94</c:v>
                </c:pt>
                <c:pt idx="27">
                  <c:v>12</c:v>
                </c:pt>
                <c:pt idx="28">
                  <c:v>56</c:v>
                </c:pt>
                <c:pt idx="29">
                  <c:v>90</c:v>
                </c:pt>
                <c:pt idx="30">
                  <c:v>18</c:v>
                </c:pt>
                <c:pt idx="31">
                  <c:v>94</c:v>
                </c:pt>
                <c:pt idx="32">
                  <c:v>20</c:v>
                </c:pt>
                <c:pt idx="33">
                  <c:v>32</c:v>
                </c:pt>
                <c:pt idx="34">
                  <c:v>66</c:v>
                </c:pt>
                <c:pt idx="35">
                  <c:v>42</c:v>
                </c:pt>
                <c:pt idx="36">
                  <c:v>42</c:v>
                </c:pt>
                <c:pt idx="37">
                  <c:v>26</c:v>
                </c:pt>
                <c:pt idx="38">
                  <c:v>13</c:v>
                </c:pt>
                <c:pt idx="39">
                  <c:v>20</c:v>
                </c:pt>
                <c:pt idx="40">
                  <c:v>63</c:v>
                </c:pt>
                <c:pt idx="41">
                  <c:v>40</c:v>
                </c:pt>
                <c:pt idx="42">
                  <c:v>79</c:v>
                </c:pt>
                <c:pt idx="43">
                  <c:v>94</c:v>
                </c:pt>
                <c:pt idx="44">
                  <c:v>48</c:v>
                </c:pt>
                <c:pt idx="45">
                  <c:v>6</c:v>
                </c:pt>
                <c:pt idx="46">
                  <c:v>14</c:v>
                </c:pt>
                <c:pt idx="47">
                  <c:v>28</c:v>
                </c:pt>
                <c:pt idx="48">
                  <c:v>87</c:v>
                </c:pt>
                <c:pt idx="49">
                  <c:v>70</c:v>
                </c:pt>
                <c:pt idx="50">
                  <c:v>86</c:v>
                </c:pt>
                <c:pt idx="51">
                  <c:v>61</c:v>
                </c:pt>
                <c:pt idx="52">
                  <c:v>25</c:v>
                </c:pt>
                <c:pt idx="53">
                  <c:v>36</c:v>
                </c:pt>
                <c:pt idx="54">
                  <c:v>93</c:v>
                </c:pt>
                <c:pt idx="55">
                  <c:v>94</c:v>
                </c:pt>
                <c:pt idx="56">
                  <c:v>91</c:v>
                </c:pt>
                <c:pt idx="57">
                  <c:v>51</c:v>
                </c:pt>
                <c:pt idx="58">
                  <c:v>45</c:v>
                </c:pt>
                <c:pt idx="59">
                  <c:v>100</c:v>
                </c:pt>
                <c:pt idx="60">
                  <c:v>24</c:v>
                </c:pt>
                <c:pt idx="61">
                  <c:v>73</c:v>
                </c:pt>
                <c:pt idx="62">
                  <c:v>54</c:v>
                </c:pt>
                <c:pt idx="63">
                  <c:v>72</c:v>
                </c:pt>
                <c:pt idx="64">
                  <c:v>50</c:v>
                </c:pt>
                <c:pt idx="65">
                  <c:v>27</c:v>
                </c:pt>
                <c:pt idx="66">
                  <c:v>33</c:v>
                </c:pt>
                <c:pt idx="67">
                  <c:v>50</c:v>
                </c:pt>
                <c:pt idx="68">
                  <c:v>80</c:v>
                </c:pt>
                <c:pt idx="69">
                  <c:v>11</c:v>
                </c:pt>
                <c:pt idx="70">
                  <c:v>82</c:v>
                </c:pt>
                <c:pt idx="71">
                  <c:v>73</c:v>
                </c:pt>
                <c:pt idx="72">
                  <c:v>71</c:v>
                </c:pt>
                <c:pt idx="73">
                  <c:v>67</c:v>
                </c:pt>
                <c:pt idx="74">
                  <c:v>82</c:v>
                </c:pt>
                <c:pt idx="75">
                  <c:v>5</c:v>
                </c:pt>
                <c:pt idx="76">
                  <c:v>60</c:v>
                </c:pt>
                <c:pt idx="77">
                  <c:v>50</c:v>
                </c:pt>
                <c:pt idx="78">
                  <c:v>17</c:v>
                </c:pt>
                <c:pt idx="79">
                  <c:v>81</c:v>
                </c:pt>
                <c:pt idx="80">
                  <c:v>20</c:v>
                </c:pt>
                <c:pt idx="81">
                  <c:v>37</c:v>
                </c:pt>
                <c:pt idx="82">
                  <c:v>35</c:v>
                </c:pt>
                <c:pt idx="83">
                  <c:v>91</c:v>
                </c:pt>
                <c:pt idx="84">
                  <c:v>62</c:v>
                </c:pt>
                <c:pt idx="85">
                  <c:v>66</c:v>
                </c:pt>
                <c:pt idx="86">
                  <c:v>90</c:v>
                </c:pt>
                <c:pt idx="87">
                  <c:v>33</c:v>
                </c:pt>
                <c:pt idx="88">
                  <c:v>82</c:v>
                </c:pt>
                <c:pt idx="89">
                  <c:v>21</c:v>
                </c:pt>
                <c:pt idx="90">
                  <c:v>52</c:v>
                </c:pt>
                <c:pt idx="91">
                  <c:v>99</c:v>
                </c:pt>
                <c:pt idx="92">
                  <c:v>54</c:v>
                </c:pt>
                <c:pt idx="93">
                  <c:v>27</c:v>
                </c:pt>
                <c:pt idx="94">
                  <c:v>10</c:v>
                </c:pt>
                <c:pt idx="95">
                  <c:v>69</c:v>
                </c:pt>
                <c:pt idx="96">
                  <c:v>59</c:v>
                </c:pt>
                <c:pt idx="97">
                  <c:v>96</c:v>
                </c:pt>
                <c:pt idx="98">
                  <c:v>14</c:v>
                </c:pt>
                <c:pt idx="99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56-46A8-B222-13B58AFDBEA5}"/>
            </c:ext>
          </c:extLst>
        </c:ser>
        <c:ser>
          <c:idx val="1"/>
          <c:order val="1"/>
          <c:tx>
            <c:v>Predicted Fraud_Cases_Detected</c:v>
          </c:tx>
          <c:spPr>
            <a:ln w="3816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'Big 4 Financial risk compliance'!$C$2:$C$101</c:f>
              <c:numCache>
                <c:formatCode>General</c:formatCode>
                <c:ptCount val="100"/>
                <c:pt idx="0">
                  <c:v>2829</c:v>
                </c:pt>
                <c:pt idx="1">
                  <c:v>3589</c:v>
                </c:pt>
                <c:pt idx="2">
                  <c:v>2438</c:v>
                </c:pt>
                <c:pt idx="3">
                  <c:v>2646</c:v>
                </c:pt>
                <c:pt idx="4">
                  <c:v>2680</c:v>
                </c:pt>
                <c:pt idx="5">
                  <c:v>818</c:v>
                </c:pt>
                <c:pt idx="6">
                  <c:v>1199</c:v>
                </c:pt>
                <c:pt idx="7">
                  <c:v>4092</c:v>
                </c:pt>
                <c:pt idx="8">
                  <c:v>4156</c:v>
                </c:pt>
                <c:pt idx="9">
                  <c:v>2490</c:v>
                </c:pt>
                <c:pt idx="10">
                  <c:v>1497</c:v>
                </c:pt>
                <c:pt idx="11">
                  <c:v>2712</c:v>
                </c:pt>
                <c:pt idx="12">
                  <c:v>2885</c:v>
                </c:pt>
                <c:pt idx="13">
                  <c:v>2267</c:v>
                </c:pt>
                <c:pt idx="14">
                  <c:v>2333</c:v>
                </c:pt>
                <c:pt idx="15">
                  <c:v>3490</c:v>
                </c:pt>
                <c:pt idx="16">
                  <c:v>3264</c:v>
                </c:pt>
                <c:pt idx="17">
                  <c:v>4813</c:v>
                </c:pt>
                <c:pt idx="18">
                  <c:v>2804</c:v>
                </c:pt>
                <c:pt idx="19">
                  <c:v>2239</c:v>
                </c:pt>
                <c:pt idx="20">
                  <c:v>1581</c:v>
                </c:pt>
                <c:pt idx="21">
                  <c:v>760</c:v>
                </c:pt>
                <c:pt idx="22">
                  <c:v>2238</c:v>
                </c:pt>
                <c:pt idx="23">
                  <c:v>1760</c:v>
                </c:pt>
                <c:pt idx="24">
                  <c:v>4103</c:v>
                </c:pt>
                <c:pt idx="25">
                  <c:v>4470</c:v>
                </c:pt>
                <c:pt idx="26">
                  <c:v>2515</c:v>
                </c:pt>
                <c:pt idx="27">
                  <c:v>3852</c:v>
                </c:pt>
                <c:pt idx="28">
                  <c:v>4773</c:v>
                </c:pt>
                <c:pt idx="29">
                  <c:v>3571</c:v>
                </c:pt>
                <c:pt idx="30">
                  <c:v>2030</c:v>
                </c:pt>
                <c:pt idx="31">
                  <c:v>811</c:v>
                </c:pt>
                <c:pt idx="32">
                  <c:v>1727</c:v>
                </c:pt>
                <c:pt idx="33">
                  <c:v>4481</c:v>
                </c:pt>
                <c:pt idx="34">
                  <c:v>4287</c:v>
                </c:pt>
                <c:pt idx="35">
                  <c:v>3560</c:v>
                </c:pt>
                <c:pt idx="36">
                  <c:v>3449</c:v>
                </c:pt>
                <c:pt idx="37">
                  <c:v>4324</c:v>
                </c:pt>
                <c:pt idx="38">
                  <c:v>2245</c:v>
                </c:pt>
                <c:pt idx="39">
                  <c:v>603</c:v>
                </c:pt>
                <c:pt idx="40">
                  <c:v>3981</c:v>
                </c:pt>
                <c:pt idx="41">
                  <c:v>1119</c:v>
                </c:pt>
                <c:pt idx="42">
                  <c:v>3076</c:v>
                </c:pt>
                <c:pt idx="43">
                  <c:v>3958</c:v>
                </c:pt>
                <c:pt idx="44">
                  <c:v>1578</c:v>
                </c:pt>
                <c:pt idx="45">
                  <c:v>4570</c:v>
                </c:pt>
                <c:pt idx="46">
                  <c:v>718</c:v>
                </c:pt>
                <c:pt idx="47">
                  <c:v>4601</c:v>
                </c:pt>
                <c:pt idx="48">
                  <c:v>4775</c:v>
                </c:pt>
                <c:pt idx="49">
                  <c:v>4340</c:v>
                </c:pt>
                <c:pt idx="50">
                  <c:v>4327</c:v>
                </c:pt>
                <c:pt idx="51">
                  <c:v>1695</c:v>
                </c:pt>
                <c:pt idx="52">
                  <c:v>995</c:v>
                </c:pt>
                <c:pt idx="53">
                  <c:v>3101</c:v>
                </c:pt>
                <c:pt idx="54">
                  <c:v>1992</c:v>
                </c:pt>
                <c:pt idx="55">
                  <c:v>2506</c:v>
                </c:pt>
                <c:pt idx="56">
                  <c:v>2556</c:v>
                </c:pt>
                <c:pt idx="57">
                  <c:v>4390</c:v>
                </c:pt>
                <c:pt idx="58">
                  <c:v>4401</c:v>
                </c:pt>
                <c:pt idx="59">
                  <c:v>1275</c:v>
                </c:pt>
                <c:pt idx="60">
                  <c:v>3630</c:v>
                </c:pt>
                <c:pt idx="61">
                  <c:v>2654</c:v>
                </c:pt>
                <c:pt idx="62">
                  <c:v>1810</c:v>
                </c:pt>
                <c:pt idx="63">
                  <c:v>2208</c:v>
                </c:pt>
                <c:pt idx="64">
                  <c:v>2133</c:v>
                </c:pt>
                <c:pt idx="65">
                  <c:v>2183</c:v>
                </c:pt>
                <c:pt idx="66">
                  <c:v>1924</c:v>
                </c:pt>
                <c:pt idx="67">
                  <c:v>4624</c:v>
                </c:pt>
                <c:pt idx="68">
                  <c:v>1825</c:v>
                </c:pt>
                <c:pt idx="69">
                  <c:v>1069</c:v>
                </c:pt>
                <c:pt idx="70">
                  <c:v>2283</c:v>
                </c:pt>
                <c:pt idx="71">
                  <c:v>4784</c:v>
                </c:pt>
                <c:pt idx="72">
                  <c:v>2861</c:v>
                </c:pt>
                <c:pt idx="73">
                  <c:v>3616</c:v>
                </c:pt>
                <c:pt idx="74">
                  <c:v>4452</c:v>
                </c:pt>
                <c:pt idx="75">
                  <c:v>1078</c:v>
                </c:pt>
                <c:pt idx="76">
                  <c:v>1286</c:v>
                </c:pt>
                <c:pt idx="77">
                  <c:v>1574</c:v>
                </c:pt>
                <c:pt idx="78">
                  <c:v>1076</c:v>
                </c:pt>
                <c:pt idx="79">
                  <c:v>3305</c:v>
                </c:pt>
                <c:pt idx="80">
                  <c:v>912</c:v>
                </c:pt>
                <c:pt idx="81">
                  <c:v>1516</c:v>
                </c:pt>
                <c:pt idx="82">
                  <c:v>1012</c:v>
                </c:pt>
                <c:pt idx="83">
                  <c:v>3230</c:v>
                </c:pt>
                <c:pt idx="84">
                  <c:v>2503</c:v>
                </c:pt>
                <c:pt idx="85">
                  <c:v>4946</c:v>
                </c:pt>
                <c:pt idx="86">
                  <c:v>4606</c:v>
                </c:pt>
                <c:pt idx="87">
                  <c:v>1771</c:v>
                </c:pt>
                <c:pt idx="88">
                  <c:v>2676</c:v>
                </c:pt>
                <c:pt idx="89">
                  <c:v>962</c:v>
                </c:pt>
                <c:pt idx="90">
                  <c:v>1925</c:v>
                </c:pt>
                <c:pt idx="91">
                  <c:v>2919</c:v>
                </c:pt>
                <c:pt idx="92">
                  <c:v>4595</c:v>
                </c:pt>
                <c:pt idx="93">
                  <c:v>797</c:v>
                </c:pt>
                <c:pt idx="94">
                  <c:v>4895</c:v>
                </c:pt>
                <c:pt idx="95">
                  <c:v>4179</c:v>
                </c:pt>
                <c:pt idx="96">
                  <c:v>2119</c:v>
                </c:pt>
                <c:pt idx="97">
                  <c:v>3810</c:v>
                </c:pt>
                <c:pt idx="98">
                  <c:v>1896</c:v>
                </c:pt>
                <c:pt idx="99">
                  <c:v>4473</c:v>
                </c:pt>
              </c:numCache>
            </c:numRef>
          </c:xVal>
          <c:yVal>
            <c:numRef>
              <c:f>'Regression Analysis'!$B$25:$B$124</c:f>
              <c:numCache>
                <c:formatCode>General</c:formatCode>
                <c:ptCount val="100"/>
                <c:pt idx="0">
                  <c:v>52.962675431075503</c:v>
                </c:pt>
                <c:pt idx="1">
                  <c:v>57.450834774991897</c:v>
                </c:pt>
                <c:pt idx="2">
                  <c:v>50.653635558086997</c:v>
                </c:pt>
                <c:pt idx="3">
                  <c:v>51.881973904843001</c:v>
                </c:pt>
                <c:pt idx="4">
                  <c:v>52.0827599807551</c:v>
                </c:pt>
                <c:pt idx="5">
                  <c:v>41.086769588160102</c:v>
                </c:pt>
                <c:pt idx="6">
                  <c:v>43.336754732939198</c:v>
                </c:pt>
                <c:pt idx="7">
                  <c:v>60.421287603925997</c:v>
                </c:pt>
                <c:pt idx="8">
                  <c:v>60.799237864466299</c:v>
                </c:pt>
                <c:pt idx="9">
                  <c:v>50.960720144775998</c:v>
                </c:pt>
                <c:pt idx="10">
                  <c:v>45.096585633580098</c:v>
                </c:pt>
                <c:pt idx="11">
                  <c:v>52.271735111025301</c:v>
                </c:pt>
                <c:pt idx="12">
                  <c:v>53.2933819090483</c:v>
                </c:pt>
                <c:pt idx="13">
                  <c:v>49.643799705705803</c:v>
                </c:pt>
                <c:pt idx="14">
                  <c:v>50.033560911888003</c:v>
                </c:pt>
                <c:pt idx="15">
                  <c:v>56.866192965718596</c:v>
                </c:pt>
                <c:pt idx="16">
                  <c:v>55.531556108185498</c:v>
                </c:pt>
                <c:pt idx="17">
                  <c:v>64.679133507825497</c:v>
                </c:pt>
                <c:pt idx="18">
                  <c:v>52.815038610552001</c:v>
                </c:pt>
                <c:pt idx="19">
                  <c:v>49.478446466719397</c:v>
                </c:pt>
                <c:pt idx="20">
                  <c:v>45.5926453505392</c:v>
                </c:pt>
                <c:pt idx="21">
                  <c:v>40.744252164545401</c:v>
                </c:pt>
                <c:pt idx="22">
                  <c:v>49.472540993898498</c:v>
                </c:pt>
                <c:pt idx="23">
                  <c:v>46.649724985488</c:v>
                </c:pt>
                <c:pt idx="24">
                  <c:v>60.486247804956299</c:v>
                </c:pt>
                <c:pt idx="25">
                  <c:v>62.653556330242303</c:v>
                </c:pt>
                <c:pt idx="26">
                  <c:v>51.108356965299599</c:v>
                </c:pt>
                <c:pt idx="27">
                  <c:v>59.003974126899799</c:v>
                </c:pt>
                <c:pt idx="28">
                  <c:v>64.442914594987798</c:v>
                </c:pt>
                <c:pt idx="29">
                  <c:v>57.344536264214902</c:v>
                </c:pt>
                <c:pt idx="30">
                  <c:v>48.244202647142401</c:v>
                </c:pt>
                <c:pt idx="31">
                  <c:v>41.045431278413503</c:v>
                </c:pt>
                <c:pt idx="32">
                  <c:v>46.4548443823968</c:v>
                </c:pt>
                <c:pt idx="33">
                  <c:v>62.718516531272599</c:v>
                </c:pt>
                <c:pt idx="34">
                  <c:v>61.5728548040098</c:v>
                </c:pt>
                <c:pt idx="35">
                  <c:v>57.2795760631845</c:v>
                </c:pt>
                <c:pt idx="36">
                  <c:v>56.624068580059898</c:v>
                </c:pt>
                <c:pt idx="37">
                  <c:v>61.791357298384597</c:v>
                </c:pt>
                <c:pt idx="38">
                  <c:v>49.513879303645098</c:v>
                </c:pt>
                <c:pt idx="39">
                  <c:v>39.817092931657399</c:v>
                </c:pt>
                <c:pt idx="40">
                  <c:v>59.765780120801303</c:v>
                </c:pt>
                <c:pt idx="41">
                  <c:v>42.864316907263799</c:v>
                </c:pt>
                <c:pt idx="42">
                  <c:v>54.421327217848301</c:v>
                </c:pt>
                <c:pt idx="43">
                  <c:v>59.629954245919699</c:v>
                </c:pt>
                <c:pt idx="44">
                  <c:v>45.574928932076403</c:v>
                </c:pt>
                <c:pt idx="45">
                  <c:v>63.244103612336502</c:v>
                </c:pt>
                <c:pt idx="46">
                  <c:v>40.496222306065803</c:v>
                </c:pt>
                <c:pt idx="47">
                  <c:v>63.427173269785698</c:v>
                </c:pt>
                <c:pt idx="48">
                  <c:v>64.454725540629696</c:v>
                </c:pt>
                <c:pt idx="49">
                  <c:v>61.885844863519701</c:v>
                </c:pt>
                <c:pt idx="50">
                  <c:v>61.8090737168475</c:v>
                </c:pt>
                <c:pt idx="51">
                  <c:v>46.265869252126699</c:v>
                </c:pt>
                <c:pt idx="52">
                  <c:v>42.132038277466897</c:v>
                </c:pt>
                <c:pt idx="53">
                  <c:v>54.568964038371902</c:v>
                </c:pt>
                <c:pt idx="54">
                  <c:v>48.0197946799466</c:v>
                </c:pt>
                <c:pt idx="55">
                  <c:v>51.055207709911102</c:v>
                </c:pt>
                <c:pt idx="56">
                  <c:v>51.350481350958198</c:v>
                </c:pt>
                <c:pt idx="57">
                  <c:v>62.181118504566797</c:v>
                </c:pt>
                <c:pt idx="58">
                  <c:v>62.246078705597199</c:v>
                </c:pt>
                <c:pt idx="59">
                  <c:v>43.785570667330802</c:v>
                </c:pt>
                <c:pt idx="60">
                  <c:v>57.692959160650503</c:v>
                </c:pt>
                <c:pt idx="61">
                  <c:v>51.929217687410599</c:v>
                </c:pt>
                <c:pt idx="62">
                  <c:v>46.944998626535103</c:v>
                </c:pt>
                <c:pt idx="63">
                  <c:v>49.295376809270202</c:v>
                </c:pt>
                <c:pt idx="64">
                  <c:v>48.852466347699497</c:v>
                </c:pt>
                <c:pt idx="65">
                  <c:v>49.147739988746601</c:v>
                </c:pt>
                <c:pt idx="66">
                  <c:v>47.618222528122502</c:v>
                </c:pt>
                <c:pt idx="67">
                  <c:v>63.562999144667401</c:v>
                </c:pt>
                <c:pt idx="68">
                  <c:v>47.033580718849201</c:v>
                </c:pt>
                <c:pt idx="69">
                  <c:v>42.569043266216703</c:v>
                </c:pt>
                <c:pt idx="70">
                  <c:v>49.7382872708409</c:v>
                </c:pt>
                <c:pt idx="71">
                  <c:v>64.5078747960182</c:v>
                </c:pt>
                <c:pt idx="72">
                  <c:v>53.151650561345697</c:v>
                </c:pt>
                <c:pt idx="73">
                  <c:v>57.610282541157297</c:v>
                </c:pt>
                <c:pt idx="74">
                  <c:v>62.547257819465301</c:v>
                </c:pt>
                <c:pt idx="75">
                  <c:v>42.622192521605101</c:v>
                </c:pt>
                <c:pt idx="76">
                  <c:v>43.850530868361197</c:v>
                </c:pt>
                <c:pt idx="77">
                  <c:v>45.551307040792601</c:v>
                </c:pt>
                <c:pt idx="78">
                  <c:v>42.610381575963302</c:v>
                </c:pt>
                <c:pt idx="79">
                  <c:v>55.773680493844203</c:v>
                </c:pt>
                <c:pt idx="80">
                  <c:v>41.641884033328701</c:v>
                </c:pt>
                <c:pt idx="81">
                  <c:v>45.208789617177999</c:v>
                </c:pt>
                <c:pt idx="82">
                  <c:v>42.2324313154229</c:v>
                </c:pt>
                <c:pt idx="83">
                  <c:v>55.330770032273499</c:v>
                </c:pt>
                <c:pt idx="84">
                  <c:v>51.037491291448298</c:v>
                </c:pt>
                <c:pt idx="85">
                  <c:v>65.464561393010896</c:v>
                </c:pt>
                <c:pt idx="86">
                  <c:v>63.456700633890399</c:v>
                </c:pt>
                <c:pt idx="87">
                  <c:v>46.714685186518302</c:v>
                </c:pt>
                <c:pt idx="88">
                  <c:v>52.059138089471297</c:v>
                </c:pt>
                <c:pt idx="89">
                  <c:v>41.937157674375797</c:v>
                </c:pt>
                <c:pt idx="90">
                  <c:v>47.6241280009435</c:v>
                </c:pt>
                <c:pt idx="91">
                  <c:v>53.494167984960399</c:v>
                </c:pt>
                <c:pt idx="92">
                  <c:v>63.391740432860097</c:v>
                </c:pt>
                <c:pt idx="93">
                  <c:v>40.962754658920304</c:v>
                </c:pt>
                <c:pt idx="94">
                  <c:v>65.163382279142795</c:v>
                </c:pt>
                <c:pt idx="95">
                  <c:v>60.935063739348003</c:v>
                </c:pt>
                <c:pt idx="96">
                  <c:v>48.769789728206298</c:v>
                </c:pt>
                <c:pt idx="97">
                  <c:v>58.755944268420201</c:v>
                </c:pt>
                <c:pt idx="98">
                  <c:v>47.452869289136103</c:v>
                </c:pt>
                <c:pt idx="99">
                  <c:v>62.6712727487051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56-46A8-B222-13B58AFDB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21818"/>
        <c:axId val="45992785"/>
      </c:scatterChart>
      <c:valAx>
        <c:axId val="862218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Total_Audit_Engagements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45992785"/>
        <c:crosses val="autoZero"/>
        <c:crossBetween val="midCat"/>
      </c:valAx>
      <c:valAx>
        <c:axId val="4599278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Fraud_Cases_Detected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8622181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6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'Regression Analysis'!$F$25:$F$124</c:f>
              <c:numCache>
                <c:formatCode>General</c:formatCode>
                <c:ptCount val="10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  <c:pt idx="80">
                  <c:v>80.5</c:v>
                </c:pt>
                <c:pt idx="81">
                  <c:v>81.5</c:v>
                </c:pt>
                <c:pt idx="82">
                  <c:v>82.5</c:v>
                </c:pt>
                <c:pt idx="83">
                  <c:v>83.5</c:v>
                </c:pt>
                <c:pt idx="84">
                  <c:v>84.5</c:v>
                </c:pt>
                <c:pt idx="85">
                  <c:v>85.5</c:v>
                </c:pt>
                <c:pt idx="86">
                  <c:v>86.5</c:v>
                </c:pt>
                <c:pt idx="87">
                  <c:v>87.5</c:v>
                </c:pt>
                <c:pt idx="88">
                  <c:v>88.5</c:v>
                </c:pt>
                <c:pt idx="89">
                  <c:v>89.5</c:v>
                </c:pt>
                <c:pt idx="90">
                  <c:v>90.5</c:v>
                </c:pt>
                <c:pt idx="91">
                  <c:v>91.5</c:v>
                </c:pt>
                <c:pt idx="92">
                  <c:v>92.5</c:v>
                </c:pt>
                <c:pt idx="93">
                  <c:v>93.5</c:v>
                </c:pt>
                <c:pt idx="94">
                  <c:v>94.5</c:v>
                </c:pt>
                <c:pt idx="95">
                  <c:v>95.5</c:v>
                </c:pt>
                <c:pt idx="96">
                  <c:v>96.5</c:v>
                </c:pt>
                <c:pt idx="97">
                  <c:v>97.5</c:v>
                </c:pt>
                <c:pt idx="98">
                  <c:v>98.5</c:v>
                </c:pt>
                <c:pt idx="99">
                  <c:v>99.5</c:v>
                </c:pt>
              </c:numCache>
            </c:numRef>
          </c:xVal>
          <c:yVal>
            <c:numRef>
              <c:f>'Regression Analysis'!$G$25:$G$124</c:f>
              <c:numCache>
                <c:formatCode>General</c:formatCode>
                <c:ptCount val="100"/>
                <c:pt idx="0">
                  <c:v>5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17</c:v>
                </c:pt>
                <c:pt idx="13">
                  <c:v>17</c:v>
                </c:pt>
                <c:pt idx="14">
                  <c:v>18</c:v>
                </c:pt>
                <c:pt idx="15">
                  <c:v>18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27</c:v>
                </c:pt>
                <c:pt idx="26">
                  <c:v>28</c:v>
                </c:pt>
                <c:pt idx="27">
                  <c:v>30</c:v>
                </c:pt>
                <c:pt idx="28">
                  <c:v>30</c:v>
                </c:pt>
                <c:pt idx="29">
                  <c:v>32</c:v>
                </c:pt>
                <c:pt idx="30">
                  <c:v>33</c:v>
                </c:pt>
                <c:pt idx="31">
                  <c:v>33</c:v>
                </c:pt>
                <c:pt idx="32">
                  <c:v>35</c:v>
                </c:pt>
                <c:pt idx="33">
                  <c:v>36</c:v>
                </c:pt>
                <c:pt idx="34">
                  <c:v>36</c:v>
                </c:pt>
                <c:pt idx="35">
                  <c:v>37</c:v>
                </c:pt>
                <c:pt idx="36">
                  <c:v>39</c:v>
                </c:pt>
                <c:pt idx="37">
                  <c:v>40</c:v>
                </c:pt>
                <c:pt idx="38">
                  <c:v>42</c:v>
                </c:pt>
                <c:pt idx="39">
                  <c:v>42</c:v>
                </c:pt>
                <c:pt idx="40">
                  <c:v>42</c:v>
                </c:pt>
                <c:pt idx="41">
                  <c:v>45</c:v>
                </c:pt>
                <c:pt idx="42">
                  <c:v>46</c:v>
                </c:pt>
                <c:pt idx="43">
                  <c:v>48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54</c:v>
                </c:pt>
                <c:pt idx="50">
                  <c:v>54</c:v>
                </c:pt>
                <c:pt idx="51">
                  <c:v>54</c:v>
                </c:pt>
                <c:pt idx="52">
                  <c:v>56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60</c:v>
                </c:pt>
                <c:pt idx="57">
                  <c:v>61</c:v>
                </c:pt>
                <c:pt idx="58">
                  <c:v>61</c:v>
                </c:pt>
                <c:pt idx="59">
                  <c:v>62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66</c:v>
                </c:pt>
                <c:pt idx="64">
                  <c:v>66</c:v>
                </c:pt>
                <c:pt idx="65">
                  <c:v>67</c:v>
                </c:pt>
                <c:pt idx="66">
                  <c:v>69</c:v>
                </c:pt>
                <c:pt idx="67">
                  <c:v>69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72</c:v>
                </c:pt>
                <c:pt idx="73">
                  <c:v>73</c:v>
                </c:pt>
                <c:pt idx="74">
                  <c:v>73</c:v>
                </c:pt>
                <c:pt idx="75">
                  <c:v>79</c:v>
                </c:pt>
                <c:pt idx="76">
                  <c:v>79</c:v>
                </c:pt>
                <c:pt idx="77">
                  <c:v>80</c:v>
                </c:pt>
                <c:pt idx="78">
                  <c:v>81</c:v>
                </c:pt>
                <c:pt idx="79">
                  <c:v>82</c:v>
                </c:pt>
                <c:pt idx="80">
                  <c:v>82</c:v>
                </c:pt>
                <c:pt idx="81">
                  <c:v>82</c:v>
                </c:pt>
                <c:pt idx="82">
                  <c:v>86</c:v>
                </c:pt>
                <c:pt idx="83">
                  <c:v>87</c:v>
                </c:pt>
                <c:pt idx="84">
                  <c:v>90</c:v>
                </c:pt>
                <c:pt idx="85">
                  <c:v>90</c:v>
                </c:pt>
                <c:pt idx="86">
                  <c:v>91</c:v>
                </c:pt>
                <c:pt idx="87">
                  <c:v>91</c:v>
                </c:pt>
                <c:pt idx="88">
                  <c:v>92</c:v>
                </c:pt>
                <c:pt idx="89">
                  <c:v>93</c:v>
                </c:pt>
                <c:pt idx="90">
                  <c:v>94</c:v>
                </c:pt>
                <c:pt idx="91">
                  <c:v>94</c:v>
                </c:pt>
                <c:pt idx="92">
                  <c:v>94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97</c:v>
                </c:pt>
                <c:pt idx="98">
                  <c:v>99</c:v>
                </c:pt>
                <c:pt idx="9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F6-40F8-8C45-C51FF8C43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12631"/>
        <c:axId val="22271847"/>
      </c:scatterChart>
      <c:valAx>
        <c:axId val="487126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22271847"/>
        <c:crosses val="autoZero"/>
        <c:crossBetween val="midCat"/>
      </c:valAx>
      <c:valAx>
        <c:axId val="2227184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Fraud_Cases_Detected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4871263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Histogram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Histogram!$D$2:$D$12</c:f>
              <c:strCache>
                <c:ptCount val="11"/>
                <c:pt idx="0">
                  <c:v>More</c:v>
                </c:pt>
                <c:pt idx="1">
                  <c:v>62</c:v>
                </c:pt>
                <c:pt idx="2">
                  <c:v>14.5</c:v>
                </c:pt>
                <c:pt idx="3">
                  <c:v>24</c:v>
                </c:pt>
                <c:pt idx="4">
                  <c:v>33.5</c:v>
                </c:pt>
                <c:pt idx="5">
                  <c:v>71.5</c:v>
                </c:pt>
                <c:pt idx="6">
                  <c:v>43</c:v>
                </c:pt>
                <c:pt idx="7">
                  <c:v>52.5</c:v>
                </c:pt>
                <c:pt idx="8">
                  <c:v>81</c:v>
                </c:pt>
                <c:pt idx="9">
                  <c:v>90.5</c:v>
                </c:pt>
                <c:pt idx="10">
                  <c:v>5</c:v>
                </c:pt>
              </c:strCache>
            </c:strRef>
          </c:cat>
          <c:val>
            <c:numRef>
              <c:f>Histogram!$E$2:$E$12</c:f>
              <c:numCache>
                <c:formatCode>General</c:formatCode>
                <c:ptCount val="11"/>
                <c:pt idx="0">
                  <c:v>14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A-4794-9290-9E2674B37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211287"/>
        <c:axId val="52981528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Histogram!$D$2:$D$12</c:f>
              <c:strCache>
                <c:ptCount val="11"/>
                <c:pt idx="0">
                  <c:v>More</c:v>
                </c:pt>
                <c:pt idx="1">
                  <c:v>62</c:v>
                </c:pt>
                <c:pt idx="2">
                  <c:v>14.5</c:v>
                </c:pt>
                <c:pt idx="3">
                  <c:v>24</c:v>
                </c:pt>
                <c:pt idx="4">
                  <c:v>33.5</c:v>
                </c:pt>
                <c:pt idx="5">
                  <c:v>71.5</c:v>
                </c:pt>
                <c:pt idx="6">
                  <c:v>43</c:v>
                </c:pt>
                <c:pt idx="7">
                  <c:v>52.5</c:v>
                </c:pt>
                <c:pt idx="8">
                  <c:v>81</c:v>
                </c:pt>
                <c:pt idx="9">
                  <c:v>90.5</c:v>
                </c:pt>
                <c:pt idx="10">
                  <c:v>5</c:v>
                </c:pt>
              </c:strCache>
            </c:strRef>
          </c:cat>
          <c:val>
            <c:numRef>
              <c:f>Histogram!$F$2:$F$12</c:f>
              <c:numCache>
                <c:formatCode>0.00%</c:formatCode>
                <c:ptCount val="11"/>
                <c:pt idx="0">
                  <c:v>0.14000000000000001</c:v>
                </c:pt>
                <c:pt idx="1">
                  <c:v>0.26</c:v>
                </c:pt>
                <c:pt idx="2">
                  <c:v>0.37</c:v>
                </c:pt>
                <c:pt idx="3">
                  <c:v>0.47</c:v>
                </c:pt>
                <c:pt idx="4">
                  <c:v>0.56999999999999995</c:v>
                </c:pt>
                <c:pt idx="5">
                  <c:v>0.67</c:v>
                </c:pt>
                <c:pt idx="6">
                  <c:v>0.76</c:v>
                </c:pt>
                <c:pt idx="7">
                  <c:v>0.84</c:v>
                </c:pt>
                <c:pt idx="8">
                  <c:v>0.92</c:v>
                </c:pt>
                <c:pt idx="9">
                  <c:v>0.99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6A-4794-9290-9E2674B37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9235587"/>
        <c:axId val="25376351"/>
      </c:lineChart>
      <c:catAx>
        <c:axId val="932112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Bin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52981528"/>
        <c:crosses val="autoZero"/>
        <c:auto val="1"/>
        <c:lblAlgn val="ctr"/>
        <c:lblOffset val="100"/>
        <c:noMultiLvlLbl val="0"/>
      </c:catAx>
      <c:valAx>
        <c:axId val="5298152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93211287"/>
        <c:crosses val="autoZero"/>
        <c:crossBetween val="between"/>
      </c:valAx>
      <c:catAx>
        <c:axId val="592355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376351"/>
        <c:crosses val="autoZero"/>
        <c:auto val="1"/>
        <c:lblAlgn val="ctr"/>
        <c:lblOffset val="100"/>
        <c:noMultiLvlLbl val="0"/>
      </c:catAx>
      <c:valAx>
        <c:axId val="25376351"/>
        <c:scaling>
          <c:orientation val="minMax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59235587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8</xdr:col>
      <xdr:colOff>505080</xdr:colOff>
      <xdr:row>24</xdr:row>
      <xdr:rowOff>180720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552760"/>
          <a:ext cx="8953200" cy="476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17</xdr:col>
      <xdr:colOff>505080</xdr:colOff>
      <xdr:row>24</xdr:row>
      <xdr:rowOff>180720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04000" y="2552760"/>
          <a:ext cx="8953200" cy="4762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31680</xdr:colOff>
      <xdr:row>2</xdr:row>
      <xdr:rowOff>95400</xdr:rowOff>
    </xdr:from>
    <xdr:to>
      <xdr:col>18</xdr:col>
      <xdr:colOff>12239</xdr:colOff>
      <xdr:row>20</xdr:row>
      <xdr:rowOff>158400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241200</xdr:colOff>
      <xdr:row>2</xdr:row>
      <xdr:rowOff>114480</xdr:rowOff>
    </xdr:from>
    <xdr:to>
      <xdr:col>27</xdr:col>
      <xdr:colOff>3415</xdr:colOff>
      <xdr:row>19</xdr:row>
      <xdr:rowOff>63360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76320</xdr:colOff>
      <xdr:row>22</xdr:row>
      <xdr:rowOff>133200</xdr:rowOff>
    </xdr:from>
    <xdr:to>
      <xdr:col>19</xdr:col>
      <xdr:colOff>533160</xdr:colOff>
      <xdr:row>37</xdr:row>
      <xdr:rowOff>177120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247680</xdr:colOff>
      <xdr:row>0</xdr:row>
      <xdr:rowOff>177840</xdr:rowOff>
    </xdr:from>
    <xdr:to>
      <xdr:col>15</xdr:col>
      <xdr:colOff>577440</xdr:colOff>
      <xdr:row>14</xdr:row>
      <xdr:rowOff>180720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B8A6"/>
  </sheetPr>
  <dimension ref="A1:R41"/>
  <sheetViews>
    <sheetView showGridLines="0" tabSelected="1" zoomScale="90" zoomScaleNormal="90" workbookViewId="0">
      <pane ySplit="4" topLeftCell="A5" activePane="bottomLeft" state="frozen"/>
      <selection pane="bottomLeft" sqref="A1:R2"/>
    </sheetView>
  </sheetViews>
  <sheetFormatPr defaultColWidth="8.6328125" defaultRowHeight="15" customHeight="1" x14ac:dyDescent="0.35"/>
  <cols>
    <col min="1" max="18" width="13.1796875" customWidth="1"/>
  </cols>
  <sheetData>
    <row r="1" spans="1:18" ht="27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30" customHeight="1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18" customHeight="1" x14ac:dyDescent="0.3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6" customHeight="1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18" customHeight="1" x14ac:dyDescent="0.35">
      <c r="A5" s="12" t="s">
        <v>2</v>
      </c>
      <c r="B5" s="12"/>
      <c r="C5" s="12"/>
      <c r="D5" s="11" t="s">
        <v>3</v>
      </c>
      <c r="E5" s="11"/>
      <c r="F5" s="11"/>
      <c r="G5" s="10" t="s">
        <v>4</v>
      </c>
      <c r="H5" s="10"/>
      <c r="I5" s="10"/>
      <c r="J5" s="9" t="s">
        <v>5</v>
      </c>
      <c r="K5" s="9"/>
      <c r="L5" s="9"/>
      <c r="M5" s="8" t="s">
        <v>6</v>
      </c>
      <c r="N5" s="8"/>
      <c r="O5" s="8"/>
      <c r="P5" s="12" t="s">
        <v>7</v>
      </c>
      <c r="Q5" s="12"/>
      <c r="R5" s="12"/>
    </row>
    <row r="6" spans="1:18" ht="27.75" customHeight="1" x14ac:dyDescent="0.35">
      <c r="A6" s="7">
        <f>'Regression Analysis'!B8</f>
        <v>100</v>
      </c>
      <c r="B6" s="7"/>
      <c r="C6" s="7"/>
      <c r="D6" s="6">
        <f>'Correlation &amp; Covariance'!E4</f>
        <v>0.26738541072336602</v>
      </c>
      <c r="E6" s="6"/>
      <c r="F6" s="6"/>
      <c r="G6" s="5">
        <f>'Regression Analysis'!B5</f>
        <v>7.1494957867702394E-2</v>
      </c>
      <c r="H6" s="5"/>
      <c r="I6" s="5"/>
      <c r="J6" s="4">
        <f>'Regression Analysis'!F12</f>
        <v>7.1582579925486001E-3</v>
      </c>
      <c r="K6" s="4"/>
      <c r="L6" s="4"/>
      <c r="M6" s="3">
        <f>'Descriptive Statistics'!E4</f>
        <v>2784.52</v>
      </c>
      <c r="N6" s="3"/>
      <c r="O6" s="3"/>
      <c r="P6" s="2">
        <f>'Descriptive Statistics'!G4</f>
        <v>52.7</v>
      </c>
      <c r="Q6" s="2"/>
      <c r="R6" s="2"/>
    </row>
    <row r="7" spans="1:18" ht="27.75" customHeight="1" x14ac:dyDescent="0.35">
      <c r="A7" s="7"/>
      <c r="B7" s="7"/>
      <c r="C7" s="7"/>
      <c r="D7" s="6"/>
      <c r="E7" s="6"/>
      <c r="F7" s="6"/>
      <c r="G7" s="5"/>
      <c r="H7" s="5"/>
      <c r="I7" s="5"/>
      <c r="J7" s="4"/>
      <c r="K7" s="4"/>
      <c r="L7" s="4"/>
      <c r="M7" s="3"/>
      <c r="N7" s="3"/>
      <c r="O7" s="3"/>
      <c r="P7" s="2"/>
      <c r="Q7" s="2"/>
      <c r="R7" s="2"/>
    </row>
    <row r="8" spans="1:18" ht="18" customHeight="1" x14ac:dyDescent="0.35">
      <c r="A8" s="1" t="s">
        <v>8</v>
      </c>
      <c r="B8" s="1"/>
      <c r="C8" s="1"/>
      <c r="D8" s="1" t="s">
        <v>9</v>
      </c>
      <c r="E8" s="1"/>
      <c r="F8" s="1"/>
      <c r="G8" s="1" t="s">
        <v>10</v>
      </c>
      <c r="H8" s="1"/>
      <c r="I8" s="1"/>
      <c r="J8" s="1" t="s">
        <v>11</v>
      </c>
      <c r="K8" s="1"/>
      <c r="L8" s="1"/>
      <c r="M8" s="1" t="s">
        <v>12</v>
      </c>
      <c r="N8" s="1"/>
      <c r="O8" s="1"/>
      <c r="P8" s="1" t="s">
        <v>12</v>
      </c>
      <c r="Q8" s="1"/>
      <c r="R8" s="1"/>
    </row>
    <row r="9" spans="1:18" ht="9.75" customHeight="1" x14ac:dyDescent="0.3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spans="1:18" ht="18" customHeight="1" x14ac:dyDescent="0.35">
      <c r="A10" s="27" t="s">
        <v>13</v>
      </c>
      <c r="B10" s="27"/>
      <c r="C10" s="27"/>
      <c r="D10" s="27"/>
      <c r="E10" s="27"/>
      <c r="F10" s="27"/>
      <c r="G10" s="27"/>
      <c r="H10" s="27"/>
      <c r="I10" s="27"/>
      <c r="J10" s="27" t="s">
        <v>14</v>
      </c>
      <c r="K10" s="27"/>
      <c r="L10" s="27"/>
      <c r="M10" s="27"/>
      <c r="N10" s="27"/>
      <c r="O10" s="27"/>
      <c r="P10" s="27"/>
      <c r="Q10" s="27"/>
      <c r="R10" s="27"/>
    </row>
    <row r="11" spans="1:18" ht="27.75" customHeight="1" x14ac:dyDescent="0.35">
      <c r="A11" s="17"/>
      <c r="B11" s="18"/>
      <c r="C11" s="18"/>
      <c r="D11" s="18"/>
      <c r="E11" s="18"/>
      <c r="F11" s="18"/>
      <c r="G11" s="18"/>
      <c r="H11" s="18"/>
      <c r="I11" s="19"/>
      <c r="J11" s="17"/>
      <c r="K11" s="18"/>
      <c r="L11" s="18"/>
      <c r="M11" s="18"/>
      <c r="N11" s="18"/>
      <c r="O11" s="18"/>
      <c r="P11" s="18"/>
      <c r="Q11" s="18"/>
      <c r="R11" s="19"/>
    </row>
    <row r="12" spans="1:18" ht="27.75" customHeight="1" x14ac:dyDescent="0.35">
      <c r="A12" s="17"/>
      <c r="B12" s="18"/>
      <c r="C12" s="18"/>
      <c r="D12" s="18"/>
      <c r="E12" s="18"/>
      <c r="F12" s="18"/>
      <c r="G12" s="18"/>
      <c r="H12" s="18"/>
      <c r="I12" s="19"/>
      <c r="J12" s="17"/>
      <c r="K12" s="18"/>
      <c r="L12" s="18"/>
      <c r="M12" s="18"/>
      <c r="N12" s="18"/>
      <c r="O12" s="18"/>
      <c r="P12" s="18"/>
      <c r="Q12" s="18"/>
      <c r="R12" s="19"/>
    </row>
    <row r="13" spans="1:18" ht="27.75" customHeight="1" x14ac:dyDescent="0.35">
      <c r="A13" s="17"/>
      <c r="B13" s="18"/>
      <c r="C13" s="18"/>
      <c r="D13" s="18"/>
      <c r="E13" s="18"/>
      <c r="F13" s="18"/>
      <c r="G13" s="18"/>
      <c r="H13" s="18"/>
      <c r="I13" s="19"/>
      <c r="J13" s="17"/>
      <c r="K13" s="18"/>
      <c r="L13" s="18"/>
      <c r="M13" s="18"/>
      <c r="N13" s="18"/>
      <c r="O13" s="18"/>
      <c r="P13" s="18"/>
      <c r="Q13" s="18"/>
      <c r="R13" s="19"/>
    </row>
    <row r="14" spans="1:18" ht="27.75" customHeight="1" x14ac:dyDescent="0.35">
      <c r="A14" s="17"/>
      <c r="B14" s="18"/>
      <c r="C14" s="18"/>
      <c r="D14" s="18"/>
      <c r="E14" s="18"/>
      <c r="F14" s="18"/>
      <c r="G14" s="18"/>
      <c r="H14" s="18"/>
      <c r="I14" s="19"/>
      <c r="J14" s="17"/>
      <c r="K14" s="18"/>
      <c r="L14" s="18"/>
      <c r="M14" s="18"/>
      <c r="N14" s="18"/>
      <c r="O14" s="18"/>
      <c r="P14" s="18"/>
      <c r="Q14" s="18"/>
      <c r="R14" s="19"/>
    </row>
    <row r="15" spans="1:18" ht="27.75" customHeight="1" x14ac:dyDescent="0.35">
      <c r="A15" s="17"/>
      <c r="B15" s="18"/>
      <c r="C15" s="18"/>
      <c r="D15" s="18"/>
      <c r="E15" s="18"/>
      <c r="F15" s="18"/>
      <c r="G15" s="18"/>
      <c r="H15" s="18"/>
      <c r="I15" s="19"/>
      <c r="J15" s="17"/>
      <c r="K15" s="18"/>
      <c r="L15" s="18"/>
      <c r="M15" s="18"/>
      <c r="N15" s="18"/>
      <c r="O15" s="18"/>
      <c r="P15" s="18"/>
      <c r="Q15" s="18"/>
      <c r="R15" s="19"/>
    </row>
    <row r="16" spans="1:18" ht="27.75" customHeight="1" x14ac:dyDescent="0.35">
      <c r="A16" s="17"/>
      <c r="B16" s="18"/>
      <c r="C16" s="18"/>
      <c r="D16" s="18"/>
      <c r="E16" s="18"/>
      <c r="F16" s="18"/>
      <c r="G16" s="18"/>
      <c r="H16" s="18"/>
      <c r="I16" s="19"/>
      <c r="J16" s="17"/>
      <c r="K16" s="18"/>
      <c r="L16" s="18"/>
      <c r="M16" s="18"/>
      <c r="N16" s="18"/>
      <c r="O16" s="18"/>
      <c r="P16" s="18"/>
      <c r="Q16" s="18"/>
      <c r="R16" s="19"/>
    </row>
    <row r="17" spans="1:18" ht="27.75" customHeight="1" x14ac:dyDescent="0.35">
      <c r="A17" s="17"/>
      <c r="B17" s="18"/>
      <c r="C17" s="18"/>
      <c r="D17" s="18"/>
      <c r="E17" s="18"/>
      <c r="F17" s="18"/>
      <c r="G17" s="18"/>
      <c r="H17" s="18"/>
      <c r="I17" s="19"/>
      <c r="J17" s="17"/>
      <c r="K17" s="18"/>
      <c r="L17" s="18"/>
      <c r="M17" s="18"/>
      <c r="N17" s="18"/>
      <c r="O17" s="18"/>
      <c r="P17" s="18"/>
      <c r="Q17" s="18"/>
      <c r="R17" s="19"/>
    </row>
    <row r="18" spans="1:18" ht="27.75" customHeight="1" x14ac:dyDescent="0.35">
      <c r="A18" s="17"/>
      <c r="B18" s="18"/>
      <c r="C18" s="18"/>
      <c r="D18" s="18"/>
      <c r="E18" s="18"/>
      <c r="F18" s="18"/>
      <c r="G18" s="18"/>
      <c r="H18" s="18"/>
      <c r="I18" s="19"/>
      <c r="J18" s="17"/>
      <c r="K18" s="18"/>
      <c r="L18" s="18"/>
      <c r="M18" s="18"/>
      <c r="N18" s="18"/>
      <c r="O18" s="18"/>
      <c r="P18" s="18"/>
      <c r="Q18" s="18"/>
      <c r="R18" s="19"/>
    </row>
    <row r="19" spans="1:18" ht="27.75" customHeight="1" x14ac:dyDescent="0.35">
      <c r="A19" s="17"/>
      <c r="B19" s="18"/>
      <c r="C19" s="18"/>
      <c r="D19" s="18"/>
      <c r="E19" s="18"/>
      <c r="F19" s="18"/>
      <c r="G19" s="18"/>
      <c r="H19" s="18"/>
      <c r="I19" s="19"/>
      <c r="J19" s="17"/>
      <c r="K19" s="18"/>
      <c r="L19" s="18"/>
      <c r="M19" s="18"/>
      <c r="N19" s="18"/>
      <c r="O19" s="18"/>
      <c r="P19" s="18"/>
      <c r="Q19" s="18"/>
      <c r="R19" s="19"/>
    </row>
    <row r="20" spans="1:18" ht="27.75" customHeight="1" x14ac:dyDescent="0.35">
      <c r="A20" s="17"/>
      <c r="B20" s="18"/>
      <c r="C20" s="18"/>
      <c r="D20" s="18"/>
      <c r="E20" s="18"/>
      <c r="F20" s="18"/>
      <c r="G20" s="18"/>
      <c r="H20" s="18"/>
      <c r="I20" s="19"/>
      <c r="J20" s="17"/>
      <c r="K20" s="18"/>
      <c r="L20" s="18"/>
      <c r="M20" s="18"/>
      <c r="N20" s="18"/>
      <c r="O20" s="18"/>
      <c r="P20" s="18"/>
      <c r="Q20" s="18"/>
      <c r="R20" s="19"/>
    </row>
    <row r="21" spans="1:18" ht="27.75" customHeight="1" x14ac:dyDescent="0.35">
      <c r="A21" s="17"/>
      <c r="B21" s="18"/>
      <c r="C21" s="18"/>
      <c r="D21" s="18"/>
      <c r="E21" s="18"/>
      <c r="F21" s="18"/>
      <c r="G21" s="18"/>
      <c r="H21" s="18"/>
      <c r="I21" s="19"/>
      <c r="J21" s="17"/>
      <c r="K21" s="18"/>
      <c r="L21" s="18"/>
      <c r="M21" s="18"/>
      <c r="N21" s="18"/>
      <c r="O21" s="18"/>
      <c r="P21" s="18"/>
      <c r="Q21" s="18"/>
      <c r="R21" s="19"/>
    </row>
    <row r="22" spans="1:18" ht="27.75" customHeight="1" x14ac:dyDescent="0.35">
      <c r="A22" s="20"/>
      <c r="B22" s="21"/>
      <c r="C22" s="21"/>
      <c r="D22" s="21"/>
      <c r="E22" s="21"/>
      <c r="F22" s="21"/>
      <c r="G22" s="21"/>
      <c r="H22" s="21"/>
      <c r="I22" s="22"/>
      <c r="J22" s="20"/>
      <c r="K22" s="21"/>
      <c r="L22" s="21"/>
      <c r="M22" s="21"/>
      <c r="N22" s="21"/>
      <c r="O22" s="21"/>
      <c r="P22" s="21"/>
      <c r="Q22" s="21"/>
      <c r="R22" s="22"/>
    </row>
    <row r="23" spans="1:18" ht="9.75" customHeight="1" x14ac:dyDescent="0.3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spans="1:18" ht="18" customHeight="1" x14ac:dyDescent="0.35">
      <c r="A24" s="27" t="s">
        <v>15</v>
      </c>
      <c r="B24" s="27"/>
      <c r="C24" s="27"/>
      <c r="D24" s="27"/>
      <c r="E24" s="27"/>
      <c r="F24" s="27"/>
      <c r="G24" s="27" t="s">
        <v>16</v>
      </c>
      <c r="H24" s="27"/>
      <c r="I24" s="27"/>
      <c r="J24" s="27"/>
      <c r="K24" s="27"/>
      <c r="L24" s="27"/>
      <c r="M24" s="27" t="s">
        <v>17</v>
      </c>
      <c r="N24" s="27"/>
      <c r="O24" s="27"/>
      <c r="P24" s="27"/>
      <c r="Q24" s="27"/>
      <c r="R24" s="27"/>
    </row>
    <row r="25" spans="1:18" ht="18" customHeight="1" x14ac:dyDescent="0.35">
      <c r="A25" s="28" t="s">
        <v>18</v>
      </c>
      <c r="B25" s="28"/>
      <c r="C25" s="29" t="s">
        <v>19</v>
      </c>
      <c r="D25" s="29"/>
      <c r="E25" s="30" t="s">
        <v>20</v>
      </c>
      <c r="F25" s="30"/>
      <c r="G25" s="31" t="s">
        <v>21</v>
      </c>
      <c r="H25" s="31"/>
      <c r="I25" s="31"/>
      <c r="J25" s="32">
        <f>'Regression Analysis'!B4</f>
        <v>0.26738541072336502</v>
      </c>
      <c r="K25" s="32"/>
      <c r="L25" s="32"/>
      <c r="M25" s="33" t="s">
        <v>22</v>
      </c>
      <c r="N25" s="33"/>
      <c r="O25" s="33"/>
      <c r="P25" s="33"/>
      <c r="Q25" s="33"/>
      <c r="R25" s="33"/>
    </row>
    <row r="26" spans="1:18" ht="19.5" customHeight="1" x14ac:dyDescent="0.35">
      <c r="A26" s="31" t="s">
        <v>23</v>
      </c>
      <c r="B26" s="31"/>
      <c r="C26" s="34">
        <f>'Descriptive Statistics'!E4</f>
        <v>2784.52</v>
      </c>
      <c r="D26" s="34"/>
      <c r="E26" s="35">
        <f>'Descriptive Statistics'!G4</f>
        <v>52.7</v>
      </c>
      <c r="F26" s="35"/>
      <c r="G26" s="36" t="s">
        <v>4</v>
      </c>
      <c r="H26" s="36"/>
      <c r="I26" s="36"/>
      <c r="J26" s="37">
        <f>'Regression Analysis'!B5</f>
        <v>7.1494957867702394E-2</v>
      </c>
      <c r="K26" s="37"/>
      <c r="L26" s="37"/>
      <c r="M26" s="17"/>
      <c r="N26" s="18"/>
      <c r="O26" s="38" t="s">
        <v>19</v>
      </c>
      <c r="P26" s="38"/>
      <c r="Q26" s="39" t="s">
        <v>20</v>
      </c>
      <c r="R26" s="39"/>
    </row>
    <row r="27" spans="1:18" ht="19.5" customHeight="1" x14ac:dyDescent="0.35">
      <c r="A27" s="36" t="s">
        <v>24</v>
      </c>
      <c r="B27" s="36"/>
      <c r="C27" s="40">
        <f>'Descriptive Statistics'!E6</f>
        <v>2650</v>
      </c>
      <c r="D27" s="40"/>
      <c r="E27" s="41">
        <f>'Descriptive Statistics'!G6</f>
        <v>54</v>
      </c>
      <c r="F27" s="41"/>
      <c r="G27" s="31" t="s">
        <v>25</v>
      </c>
      <c r="H27" s="31"/>
      <c r="I27" s="31"/>
      <c r="J27" s="42">
        <f>'Regression Analysis'!B6</f>
        <v>6.2020416621454501E-2</v>
      </c>
      <c r="K27" s="42"/>
      <c r="L27" s="42"/>
      <c r="M27" s="43" t="s">
        <v>19</v>
      </c>
      <c r="N27" s="43"/>
      <c r="O27" s="44">
        <f>1</f>
        <v>1</v>
      </c>
      <c r="P27" s="44"/>
      <c r="Q27" s="45">
        <f>'Correlation &amp; Covariance'!E4</f>
        <v>0.26738541072336602</v>
      </c>
      <c r="R27" s="45"/>
    </row>
    <row r="28" spans="1:18" ht="19.5" customHeight="1" x14ac:dyDescent="0.35">
      <c r="A28" s="31" t="s">
        <v>26</v>
      </c>
      <c r="B28" s="31"/>
      <c r="C28" s="34">
        <f>'Descriptive Statistics'!E8</f>
        <v>1281.8630734169301</v>
      </c>
      <c r="D28" s="34"/>
      <c r="E28" s="35">
        <f>'Descriptive Statistics'!G8</f>
        <v>28.311221318149698</v>
      </c>
      <c r="F28" s="35"/>
      <c r="G28" s="36" t="s">
        <v>27</v>
      </c>
      <c r="H28" s="36"/>
      <c r="I28" s="36"/>
      <c r="J28" s="46">
        <f>'Regression Analysis'!B7</f>
        <v>27.419232710471999</v>
      </c>
      <c r="K28" s="46"/>
      <c r="L28" s="46"/>
      <c r="M28" s="43" t="s">
        <v>20</v>
      </c>
      <c r="N28" s="43"/>
      <c r="O28" s="47">
        <f>'Correlation &amp; Covariance'!E4</f>
        <v>0.26738541072336602</v>
      </c>
      <c r="P28" s="47"/>
      <c r="Q28" s="48">
        <f>1</f>
        <v>1</v>
      </c>
      <c r="R28" s="48"/>
    </row>
    <row r="29" spans="1:18" ht="19.5" customHeight="1" x14ac:dyDescent="0.35">
      <c r="A29" s="36" t="s">
        <v>28</v>
      </c>
      <c r="B29" s="36"/>
      <c r="C29" s="40">
        <f>'Descriptive Statistics'!E13</f>
        <v>603</v>
      </c>
      <c r="D29" s="40"/>
      <c r="E29" s="41">
        <f>'Descriptive Statistics'!G13</f>
        <v>5</v>
      </c>
      <c r="F29" s="41"/>
      <c r="G29" s="31" t="s">
        <v>29</v>
      </c>
      <c r="H29" s="31"/>
      <c r="I29" s="31"/>
      <c r="J29" s="32">
        <f>'Regression Analysis'!E12</f>
        <v>7.5460073484840802</v>
      </c>
      <c r="K29" s="32"/>
      <c r="L29" s="32"/>
      <c r="M29" s="17"/>
      <c r="N29" s="18"/>
      <c r="O29" s="18"/>
      <c r="P29" s="18"/>
      <c r="Q29" s="18"/>
      <c r="R29" s="19"/>
    </row>
    <row r="30" spans="1:18" ht="19.5" customHeight="1" x14ac:dyDescent="0.35">
      <c r="A30" s="31" t="s">
        <v>30</v>
      </c>
      <c r="B30" s="31"/>
      <c r="C30" s="49">
        <f>'Descriptive Statistics'!E14</f>
        <v>4946</v>
      </c>
      <c r="D30" s="49"/>
      <c r="E30" s="50">
        <f>'Descriptive Statistics'!G14</f>
        <v>100</v>
      </c>
      <c r="F30" s="50"/>
      <c r="G30" s="36" t="s">
        <v>5</v>
      </c>
      <c r="H30" s="36"/>
      <c r="I30" s="36"/>
      <c r="J30" s="51">
        <f>'Regression Analysis'!F12</f>
        <v>7.1582579925486001E-3</v>
      </c>
      <c r="K30" s="51"/>
      <c r="L30" s="51"/>
      <c r="M30" s="31" t="s">
        <v>31</v>
      </c>
      <c r="N30" s="31"/>
      <c r="O30" s="31"/>
      <c r="P30" s="52">
        <f>'Correlation &amp; Covariance'!E9</f>
        <v>9606.6759999999995</v>
      </c>
      <c r="Q30" s="52"/>
      <c r="R30" s="52"/>
    </row>
    <row r="31" spans="1:18" ht="19.5" customHeight="1" x14ac:dyDescent="0.35">
      <c r="A31" s="36" t="s">
        <v>32</v>
      </c>
      <c r="B31" s="36"/>
      <c r="C31" s="40">
        <f>'Descriptive Statistics'!E12</f>
        <v>4343</v>
      </c>
      <c r="D31" s="40"/>
      <c r="E31" s="41">
        <f>'Descriptive Statistics'!G12</f>
        <v>95</v>
      </c>
      <c r="F31" s="41"/>
      <c r="G31" s="31" t="s">
        <v>33</v>
      </c>
      <c r="H31" s="31"/>
      <c r="I31" s="31"/>
      <c r="J31" s="53">
        <f>'Regression Analysis'!B17</f>
        <v>36.2560928206291</v>
      </c>
      <c r="K31" s="53"/>
      <c r="L31" s="53"/>
      <c r="M31" s="36" t="s">
        <v>34</v>
      </c>
      <c r="N31" s="36"/>
      <c r="O31" s="36"/>
      <c r="P31" s="54">
        <f>'Correlation &amp; Covariance'!E8</f>
        <v>1626741.2095999999</v>
      </c>
      <c r="Q31" s="54"/>
      <c r="R31" s="54"/>
    </row>
    <row r="32" spans="1:18" ht="19.5" customHeight="1" x14ac:dyDescent="0.35">
      <c r="A32" s="31" t="s">
        <v>35</v>
      </c>
      <c r="B32" s="31"/>
      <c r="C32" s="49">
        <f>'Descriptive Statistics'!E16</f>
        <v>100</v>
      </c>
      <c r="D32" s="49"/>
      <c r="E32" s="50">
        <f>'Descriptive Statistics'!G16</f>
        <v>100</v>
      </c>
      <c r="F32" s="50"/>
      <c r="G32" s="36" t="s">
        <v>36</v>
      </c>
      <c r="H32" s="36"/>
      <c r="I32" s="36"/>
      <c r="J32" s="51">
        <f>'Regression Analysis'!B18</f>
        <v>5.9054728209425502E-3</v>
      </c>
      <c r="K32" s="51"/>
      <c r="L32" s="51"/>
      <c r="M32" s="31" t="s">
        <v>37</v>
      </c>
      <c r="N32" s="31"/>
      <c r="O32" s="31"/>
      <c r="P32" s="52">
        <f>'Correlation &amp; Covariance'!F9</f>
        <v>793.51</v>
      </c>
      <c r="Q32" s="52"/>
      <c r="R32" s="52"/>
    </row>
    <row r="33" spans="1:18" ht="19.5" customHeight="1" x14ac:dyDescent="0.35">
      <c r="A33" s="17"/>
      <c r="B33" s="18"/>
      <c r="C33" s="18"/>
      <c r="D33" s="18"/>
      <c r="E33" s="18"/>
      <c r="F33" s="19"/>
      <c r="G33" s="31" t="s">
        <v>38</v>
      </c>
      <c r="H33" s="31"/>
      <c r="I33" s="31"/>
      <c r="J33" s="55">
        <f>'Regression Analysis'!E18</f>
        <v>7.1582579925483199E-3</v>
      </c>
      <c r="K33" s="55"/>
      <c r="L33" s="55"/>
      <c r="M33" s="56" t="s">
        <v>39</v>
      </c>
      <c r="N33" s="56"/>
      <c r="O33" s="56"/>
      <c r="P33" s="56"/>
      <c r="Q33" s="56"/>
      <c r="R33" s="56"/>
    </row>
    <row r="34" spans="1:18" ht="19.5" customHeight="1" x14ac:dyDescent="0.35">
      <c r="A34" s="20"/>
      <c r="B34" s="21"/>
      <c r="C34" s="21"/>
      <c r="D34" s="21"/>
      <c r="E34" s="21"/>
      <c r="F34" s="22"/>
      <c r="G34" s="57" t="s">
        <v>40</v>
      </c>
      <c r="H34" s="57"/>
      <c r="I34" s="57"/>
      <c r="J34" s="57"/>
      <c r="K34" s="57"/>
      <c r="L34" s="57"/>
      <c r="M34" s="56"/>
      <c r="N34" s="56"/>
      <c r="O34" s="56"/>
      <c r="P34" s="56"/>
      <c r="Q34" s="56"/>
      <c r="R34" s="56"/>
    </row>
    <row r="35" spans="1:18" ht="9.75" customHeight="1" x14ac:dyDescent="0.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spans="1:18" ht="18" customHeight="1" x14ac:dyDescent="0.35">
      <c r="A36" s="58" t="s">
        <v>41</v>
      </c>
      <c r="B36" s="58"/>
      <c r="C36" s="58"/>
      <c r="D36" s="58"/>
      <c r="E36" s="58"/>
      <c r="F36" s="58"/>
      <c r="G36" s="59" t="s">
        <v>42</v>
      </c>
      <c r="H36" s="59"/>
      <c r="I36" s="59"/>
      <c r="J36" s="59"/>
      <c r="K36" s="59"/>
      <c r="L36" s="59"/>
      <c r="M36" s="60" t="s">
        <v>43</v>
      </c>
      <c r="N36" s="60"/>
      <c r="O36" s="60"/>
      <c r="P36" s="60"/>
      <c r="Q36" s="60"/>
      <c r="R36" s="60"/>
    </row>
    <row r="37" spans="1:18" ht="24" customHeight="1" x14ac:dyDescent="0.35">
      <c r="A37" s="61" t="s">
        <v>44</v>
      </c>
      <c r="B37" s="61"/>
      <c r="C37" s="61"/>
      <c r="D37" s="61"/>
      <c r="E37" s="61"/>
      <c r="F37" s="61"/>
      <c r="G37" s="62" t="s">
        <v>45</v>
      </c>
      <c r="H37" s="62"/>
      <c r="I37" s="62"/>
      <c r="J37" s="62"/>
      <c r="K37" s="62"/>
      <c r="L37" s="62"/>
      <c r="M37" s="63" t="s">
        <v>46</v>
      </c>
      <c r="N37" s="63"/>
      <c r="O37" s="63"/>
      <c r="P37" s="63"/>
      <c r="Q37" s="63"/>
      <c r="R37" s="63"/>
    </row>
    <row r="38" spans="1:18" ht="24" customHeight="1" x14ac:dyDescent="0.35">
      <c r="A38" s="61"/>
      <c r="B38" s="61"/>
      <c r="C38" s="61"/>
      <c r="D38" s="61"/>
      <c r="E38" s="61"/>
      <c r="F38" s="61"/>
      <c r="G38" s="62"/>
      <c r="H38" s="62"/>
      <c r="I38" s="62"/>
      <c r="J38" s="62"/>
      <c r="K38" s="62"/>
      <c r="L38" s="62"/>
      <c r="M38" s="63"/>
      <c r="N38" s="63"/>
      <c r="O38" s="63"/>
      <c r="P38" s="63"/>
      <c r="Q38" s="63"/>
      <c r="R38" s="63"/>
    </row>
    <row r="39" spans="1:18" ht="24" customHeight="1" x14ac:dyDescent="0.35">
      <c r="A39" s="61"/>
      <c r="B39" s="61"/>
      <c r="C39" s="61"/>
      <c r="D39" s="61"/>
      <c r="E39" s="61"/>
      <c r="F39" s="61"/>
      <c r="G39" s="62"/>
      <c r="H39" s="62"/>
      <c r="I39" s="62"/>
      <c r="J39" s="62"/>
      <c r="K39" s="62"/>
      <c r="L39" s="62"/>
      <c r="M39" s="63"/>
      <c r="N39" s="63"/>
      <c r="O39" s="63"/>
      <c r="P39" s="63"/>
      <c r="Q39" s="63"/>
      <c r="R39" s="63"/>
    </row>
    <row r="40" spans="1:18" ht="7.5" customHeight="1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spans="1:18" ht="15.75" customHeight="1" x14ac:dyDescent="0.35">
      <c r="A41" s="64" t="s">
        <v>47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</row>
  </sheetData>
  <mergeCells count="91">
    <mergeCell ref="A41:R41"/>
    <mergeCell ref="A36:F36"/>
    <mergeCell ref="G36:L36"/>
    <mergeCell ref="M36:R36"/>
    <mergeCell ref="A37:F39"/>
    <mergeCell ref="G37:L39"/>
    <mergeCell ref="M37:R39"/>
    <mergeCell ref="M32:O32"/>
    <mergeCell ref="P32:R32"/>
    <mergeCell ref="G33:I33"/>
    <mergeCell ref="J33:L33"/>
    <mergeCell ref="M33:R34"/>
    <mergeCell ref="G34:L34"/>
    <mergeCell ref="A32:B32"/>
    <mergeCell ref="C32:D32"/>
    <mergeCell ref="E32:F32"/>
    <mergeCell ref="G32:I32"/>
    <mergeCell ref="J32:L32"/>
    <mergeCell ref="M30:O30"/>
    <mergeCell ref="P30:R30"/>
    <mergeCell ref="A31:B31"/>
    <mergeCell ref="C31:D31"/>
    <mergeCell ref="E31:F31"/>
    <mergeCell ref="G31:I31"/>
    <mergeCell ref="J31:L31"/>
    <mergeCell ref="M31:O31"/>
    <mergeCell ref="P31:R31"/>
    <mergeCell ref="A30:B30"/>
    <mergeCell ref="C30:D30"/>
    <mergeCell ref="E30:F30"/>
    <mergeCell ref="G30:I30"/>
    <mergeCell ref="J30:L30"/>
    <mergeCell ref="A29:B29"/>
    <mergeCell ref="C29:D29"/>
    <mergeCell ref="E29:F29"/>
    <mergeCell ref="G29:I29"/>
    <mergeCell ref="J29:L29"/>
    <mergeCell ref="M27:N27"/>
    <mergeCell ref="O27:P27"/>
    <mergeCell ref="Q27:R27"/>
    <mergeCell ref="A28:B28"/>
    <mergeCell ref="C28:D28"/>
    <mergeCell ref="E28:F28"/>
    <mergeCell ref="G28:I28"/>
    <mergeCell ref="J28:L28"/>
    <mergeCell ref="M28:N28"/>
    <mergeCell ref="O28:P28"/>
    <mergeCell ref="Q28:R28"/>
    <mergeCell ref="A27:B27"/>
    <mergeCell ref="C27:D27"/>
    <mergeCell ref="E27:F27"/>
    <mergeCell ref="G27:I27"/>
    <mergeCell ref="J27:L27"/>
    <mergeCell ref="M25:R25"/>
    <mergeCell ref="A26:B26"/>
    <mergeCell ref="C26:D26"/>
    <mergeCell ref="E26:F26"/>
    <mergeCell ref="G26:I26"/>
    <mergeCell ref="J26:L26"/>
    <mergeCell ref="O26:P26"/>
    <mergeCell ref="Q26:R26"/>
    <mergeCell ref="A25:B25"/>
    <mergeCell ref="C25:D25"/>
    <mergeCell ref="E25:F25"/>
    <mergeCell ref="G25:I25"/>
    <mergeCell ref="J25:L25"/>
    <mergeCell ref="A10:I10"/>
    <mergeCell ref="J10:R10"/>
    <mergeCell ref="A24:F24"/>
    <mergeCell ref="G24:L24"/>
    <mergeCell ref="M24:R24"/>
    <mergeCell ref="P6:R7"/>
    <mergeCell ref="A8:C8"/>
    <mergeCell ref="D8:F8"/>
    <mergeCell ref="G8:I8"/>
    <mergeCell ref="J8:L8"/>
    <mergeCell ref="M8:O8"/>
    <mergeCell ref="P8:R8"/>
    <mergeCell ref="A6:C7"/>
    <mergeCell ref="D6:F7"/>
    <mergeCell ref="G6:I7"/>
    <mergeCell ref="J6:L7"/>
    <mergeCell ref="M6:O7"/>
    <mergeCell ref="A1:R2"/>
    <mergeCell ref="A3:R3"/>
    <mergeCell ref="A5:C5"/>
    <mergeCell ref="D5:F5"/>
    <mergeCell ref="G5:I5"/>
    <mergeCell ref="J5:L5"/>
    <mergeCell ref="M5:O5"/>
    <mergeCell ref="P5:R5"/>
  </mergeCells>
  <printOptions horizontalCentered="1"/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4"/>
  <sheetViews>
    <sheetView topLeftCell="A6" zoomScale="71" zoomScaleNormal="71" workbookViewId="0">
      <selection activeCell="K19" sqref="K19"/>
    </sheetView>
  </sheetViews>
  <sheetFormatPr defaultColWidth="8.6328125" defaultRowHeight="14.25" customHeight="1" x14ac:dyDescent="0.35"/>
  <cols>
    <col min="1" max="1" width="22.6328125" bestFit="1" customWidth="1"/>
    <col min="2" max="2" width="29.81640625" bestFit="1" customWidth="1"/>
    <col min="3" max="3" width="13.36328125" bestFit="1" customWidth="1"/>
  </cols>
  <sheetData>
    <row r="1" spans="1:9" ht="14.5" x14ac:dyDescent="0.35">
      <c r="A1" t="s">
        <v>48</v>
      </c>
    </row>
    <row r="2" spans="1:9" ht="15" customHeight="1" x14ac:dyDescent="0.35"/>
    <row r="3" spans="1:9" ht="14.5" x14ac:dyDescent="0.35">
      <c r="A3" s="65" t="s">
        <v>49</v>
      </c>
      <c r="B3" s="65"/>
    </row>
    <row r="4" spans="1:9" ht="14.5" x14ac:dyDescent="0.35">
      <c r="A4" t="s">
        <v>21</v>
      </c>
      <c r="B4">
        <v>0.26738541072336502</v>
      </c>
    </row>
    <row r="5" spans="1:9" ht="14.5" x14ac:dyDescent="0.35">
      <c r="A5" t="s">
        <v>4</v>
      </c>
      <c r="B5">
        <v>7.1494957867702394E-2</v>
      </c>
    </row>
    <row r="6" spans="1:9" ht="14.5" x14ac:dyDescent="0.35">
      <c r="A6" t="s">
        <v>25</v>
      </c>
      <c r="B6">
        <v>6.2020416621454501E-2</v>
      </c>
    </row>
    <row r="7" spans="1:9" ht="14.5" x14ac:dyDescent="0.35">
      <c r="A7" t="s">
        <v>50</v>
      </c>
      <c r="B7">
        <v>27.419232710471999</v>
      </c>
    </row>
    <row r="8" spans="1:9" ht="15" customHeight="1" x14ac:dyDescent="0.35">
      <c r="A8" s="24" t="s">
        <v>2</v>
      </c>
      <c r="B8" s="24">
        <v>100</v>
      </c>
    </row>
    <row r="10" spans="1:9" ht="15" customHeight="1" x14ac:dyDescent="0.35">
      <c r="A10" t="s">
        <v>51</v>
      </c>
    </row>
    <row r="11" spans="1:9" ht="14.5" x14ac:dyDescent="0.35">
      <c r="A11" s="23"/>
      <c r="B11" s="23" t="s">
        <v>52</v>
      </c>
      <c r="C11" s="23" t="s">
        <v>53</v>
      </c>
      <c r="D11" s="23" t="s">
        <v>54</v>
      </c>
      <c r="E11" s="23" t="s">
        <v>55</v>
      </c>
      <c r="F11" s="23" t="s">
        <v>5</v>
      </c>
    </row>
    <row r="12" spans="1:9" ht="14.5" x14ac:dyDescent="0.35">
      <c r="A12" t="s">
        <v>56</v>
      </c>
      <c r="B12">
        <v>1</v>
      </c>
      <c r="C12">
        <v>5673.1964017600603</v>
      </c>
      <c r="D12">
        <v>5673.1964017600603</v>
      </c>
      <c r="E12">
        <v>7.5460073484840802</v>
      </c>
      <c r="F12">
        <v>7.1582579925486001E-3</v>
      </c>
    </row>
    <row r="13" spans="1:9" ht="14.5" x14ac:dyDescent="0.35">
      <c r="A13" t="s">
        <v>57</v>
      </c>
      <c r="B13">
        <v>98</v>
      </c>
      <c r="C13">
        <v>73677.803598239901</v>
      </c>
      <c r="D13">
        <v>751.81432243101995</v>
      </c>
    </row>
    <row r="14" spans="1:9" ht="15" customHeight="1" x14ac:dyDescent="0.35">
      <c r="A14" s="24" t="s">
        <v>58</v>
      </c>
      <c r="B14" s="24">
        <v>99</v>
      </c>
      <c r="C14" s="24">
        <v>79351</v>
      </c>
      <c r="D14" s="24"/>
      <c r="E14" s="24"/>
      <c r="F14" s="24"/>
    </row>
    <row r="15" spans="1:9" ht="15" customHeight="1" x14ac:dyDescent="0.35"/>
    <row r="16" spans="1:9" ht="14.5" x14ac:dyDescent="0.35">
      <c r="A16" s="23"/>
      <c r="B16" s="23" t="s">
        <v>59</v>
      </c>
      <c r="C16" s="23" t="s">
        <v>50</v>
      </c>
      <c r="D16" s="23" t="s">
        <v>60</v>
      </c>
      <c r="E16" s="23" t="s">
        <v>61</v>
      </c>
      <c r="F16" s="23" t="s">
        <v>62</v>
      </c>
      <c r="G16" s="23" t="s">
        <v>63</v>
      </c>
      <c r="H16" s="23" t="s">
        <v>64</v>
      </c>
      <c r="I16" s="23" t="s">
        <v>65</v>
      </c>
    </row>
    <row r="17" spans="1:9" ht="14.5" x14ac:dyDescent="0.35">
      <c r="A17" t="s">
        <v>33</v>
      </c>
      <c r="B17">
        <v>36.2560928206291</v>
      </c>
      <c r="C17">
        <v>6.5842189067917802</v>
      </c>
      <c r="D17">
        <v>5.5065138832534997</v>
      </c>
      <c r="E17">
        <v>2.9430446548055602E-7</v>
      </c>
      <c r="F17">
        <v>23.189924686741399</v>
      </c>
      <c r="G17">
        <v>49.3222609545167</v>
      </c>
      <c r="H17">
        <v>23.189924686741399</v>
      </c>
      <c r="I17">
        <v>49.3222609545167</v>
      </c>
    </row>
    <row r="18" spans="1:9" ht="15" customHeight="1" x14ac:dyDescent="0.35">
      <c r="A18" s="24" t="s">
        <v>66</v>
      </c>
      <c r="B18" s="24">
        <v>5.9054728209425502E-3</v>
      </c>
      <c r="C18" s="24">
        <v>2.14979012274376E-3</v>
      </c>
      <c r="D18" s="24">
        <v>2.7469996993964401</v>
      </c>
      <c r="E18" s="24">
        <v>7.1582579925483199E-3</v>
      </c>
      <c r="F18" s="24">
        <v>1.63928428833377E-3</v>
      </c>
      <c r="G18" s="24">
        <v>1.01716613535513E-2</v>
      </c>
      <c r="H18" s="24">
        <v>1.63928428833377E-3</v>
      </c>
      <c r="I18" s="24">
        <v>1.01716613535513E-2</v>
      </c>
    </row>
    <row r="22" spans="1:9" ht="14.5" x14ac:dyDescent="0.35">
      <c r="A22" t="s">
        <v>67</v>
      </c>
      <c r="F22" t="s">
        <v>68</v>
      </c>
    </row>
    <row r="23" spans="1:9" ht="15" customHeight="1" x14ac:dyDescent="0.35"/>
    <row r="24" spans="1:9" ht="14.5" x14ac:dyDescent="0.35">
      <c r="A24" s="23" t="s">
        <v>69</v>
      </c>
      <c r="B24" s="23" t="s">
        <v>70</v>
      </c>
      <c r="C24" s="23" t="s">
        <v>71</v>
      </c>
      <c r="D24" s="23" t="s">
        <v>72</v>
      </c>
      <c r="F24" s="23" t="s">
        <v>73</v>
      </c>
      <c r="G24" s="23" t="s">
        <v>74</v>
      </c>
    </row>
    <row r="25" spans="1:9" ht="14.5" x14ac:dyDescent="0.35">
      <c r="A25">
        <v>1</v>
      </c>
      <c r="B25">
        <v>52.962675431075503</v>
      </c>
      <c r="C25">
        <v>-13.9626754310755</v>
      </c>
      <c r="D25">
        <v>-0.511820768676858</v>
      </c>
      <c r="F25">
        <v>0.5</v>
      </c>
      <c r="G25">
        <v>5</v>
      </c>
    </row>
    <row r="26" spans="1:9" ht="14.5" x14ac:dyDescent="0.35">
      <c r="A26">
        <v>2</v>
      </c>
      <c r="B26">
        <v>57.450834774991897</v>
      </c>
      <c r="C26">
        <v>2.54916522500814</v>
      </c>
      <c r="D26">
        <v>9.3443102032164105E-2</v>
      </c>
      <c r="F26">
        <v>1.5</v>
      </c>
      <c r="G26">
        <v>6</v>
      </c>
    </row>
    <row r="27" spans="1:9" ht="14.5" x14ac:dyDescent="0.35">
      <c r="A27">
        <v>3</v>
      </c>
      <c r="B27">
        <v>50.653635558086997</v>
      </c>
      <c r="C27">
        <v>46.346364441913003</v>
      </c>
      <c r="D27">
        <v>1.6988887259560499</v>
      </c>
      <c r="F27">
        <v>2.5</v>
      </c>
      <c r="G27">
        <v>10</v>
      </c>
    </row>
    <row r="28" spans="1:9" ht="14.5" x14ac:dyDescent="0.35">
      <c r="A28">
        <v>4</v>
      </c>
      <c r="B28">
        <v>51.881973904843001</v>
      </c>
      <c r="C28">
        <v>45.118026095156999</v>
      </c>
      <c r="D28">
        <v>1.65386232110009</v>
      </c>
      <c r="F28">
        <v>3.5</v>
      </c>
      <c r="G28">
        <v>10</v>
      </c>
    </row>
    <row r="29" spans="1:9" ht="14.5" x14ac:dyDescent="0.35">
      <c r="A29">
        <v>5</v>
      </c>
      <c r="B29">
        <v>52.0827599807551</v>
      </c>
      <c r="C29">
        <v>-6.0827599807550898</v>
      </c>
      <c r="D29">
        <v>-0.22297180109894499</v>
      </c>
      <c r="F29">
        <v>4.5</v>
      </c>
      <c r="G29">
        <v>11</v>
      </c>
    </row>
    <row r="30" spans="1:9" ht="14.5" x14ac:dyDescent="0.35">
      <c r="A30">
        <v>6</v>
      </c>
      <c r="B30">
        <v>41.086769588160102</v>
      </c>
      <c r="C30">
        <v>-11.0867695881601</v>
      </c>
      <c r="D30">
        <v>-0.40640054699876399</v>
      </c>
      <c r="F30">
        <v>5.5</v>
      </c>
      <c r="G30">
        <v>11</v>
      </c>
    </row>
    <row r="31" spans="1:9" ht="14.5" x14ac:dyDescent="0.35">
      <c r="A31">
        <v>7</v>
      </c>
      <c r="B31">
        <v>43.336754732939198</v>
      </c>
      <c r="C31">
        <v>-32.336754732939198</v>
      </c>
      <c r="D31">
        <v>-1.18534751778965</v>
      </c>
      <c r="F31">
        <v>6.5</v>
      </c>
      <c r="G31">
        <v>11</v>
      </c>
    </row>
    <row r="32" spans="1:9" ht="14.5" x14ac:dyDescent="0.35">
      <c r="A32">
        <v>8</v>
      </c>
      <c r="B32">
        <v>60.421287603925997</v>
      </c>
      <c r="C32">
        <v>8.5787123960740406</v>
      </c>
      <c r="D32">
        <v>0.31446431555976401</v>
      </c>
      <c r="F32">
        <v>7.5</v>
      </c>
      <c r="G32">
        <v>12</v>
      </c>
    </row>
    <row r="33" spans="1:7" ht="14.5" x14ac:dyDescent="0.35">
      <c r="A33">
        <v>9</v>
      </c>
      <c r="B33">
        <v>60.799237864466299</v>
      </c>
      <c r="C33">
        <v>34.200762135533701</v>
      </c>
      <c r="D33">
        <v>1.2536752323687601</v>
      </c>
      <c r="F33">
        <v>8.5</v>
      </c>
      <c r="G33">
        <v>13</v>
      </c>
    </row>
    <row r="34" spans="1:7" ht="14.5" x14ac:dyDescent="0.35">
      <c r="A34">
        <v>10</v>
      </c>
      <c r="B34">
        <v>50.960720144775998</v>
      </c>
      <c r="C34">
        <v>-28.960720144776001</v>
      </c>
      <c r="D34">
        <v>-1.0615943999489501</v>
      </c>
      <c r="F34">
        <v>9.5</v>
      </c>
      <c r="G34">
        <v>14</v>
      </c>
    </row>
    <row r="35" spans="1:7" ht="14.5" x14ac:dyDescent="0.35">
      <c r="A35">
        <v>11</v>
      </c>
      <c r="B35">
        <v>45.096585633580098</v>
      </c>
      <c r="C35">
        <v>-35.096585633580098</v>
      </c>
      <c r="D35">
        <v>-1.2865128553323699</v>
      </c>
      <c r="F35">
        <v>10.5</v>
      </c>
      <c r="G35">
        <v>14</v>
      </c>
    </row>
    <row r="36" spans="1:7" ht="14.5" x14ac:dyDescent="0.35">
      <c r="A36">
        <v>12</v>
      </c>
      <c r="B36">
        <v>52.271735111025301</v>
      </c>
      <c r="C36">
        <v>8.7282648889747492</v>
      </c>
      <c r="D36">
        <v>0.31994636463064802</v>
      </c>
      <c r="F36">
        <v>11.5</v>
      </c>
      <c r="G36">
        <v>14</v>
      </c>
    </row>
    <row r="37" spans="1:7" ht="14.5" x14ac:dyDescent="0.35">
      <c r="A37">
        <v>13</v>
      </c>
      <c r="B37">
        <v>53.2933819090483</v>
      </c>
      <c r="C37">
        <v>38.7066180909517</v>
      </c>
      <c r="D37">
        <v>1.41884348182306</v>
      </c>
      <c r="F37">
        <v>12.5</v>
      </c>
      <c r="G37">
        <v>17</v>
      </c>
    </row>
    <row r="38" spans="1:7" ht="14.5" x14ac:dyDescent="0.35">
      <c r="A38">
        <v>14</v>
      </c>
      <c r="B38">
        <v>49.643799705705803</v>
      </c>
      <c r="C38">
        <v>-7.6437997057058196</v>
      </c>
      <c r="D38">
        <v>-0.28019382533802401</v>
      </c>
      <c r="F38">
        <v>13.5</v>
      </c>
      <c r="G38">
        <v>17</v>
      </c>
    </row>
    <row r="39" spans="1:7" ht="14.5" x14ac:dyDescent="0.35">
      <c r="A39">
        <v>15</v>
      </c>
      <c r="B39">
        <v>50.033560911888003</v>
      </c>
      <c r="C39">
        <v>-33.033560911888003</v>
      </c>
      <c r="D39">
        <v>-1.2108898915194499</v>
      </c>
      <c r="F39">
        <v>14.5</v>
      </c>
      <c r="G39">
        <v>18</v>
      </c>
    </row>
    <row r="40" spans="1:7" ht="14.5" x14ac:dyDescent="0.35">
      <c r="A40">
        <v>16</v>
      </c>
      <c r="B40">
        <v>56.866192965718596</v>
      </c>
      <c r="C40">
        <v>5.1338070342814497</v>
      </c>
      <c r="D40">
        <v>0.18818664628389101</v>
      </c>
      <c r="F40">
        <v>15.5</v>
      </c>
      <c r="G40">
        <v>18</v>
      </c>
    </row>
    <row r="41" spans="1:7" ht="14.5" x14ac:dyDescent="0.35">
      <c r="A41">
        <v>17</v>
      </c>
      <c r="B41">
        <v>55.531556108185498</v>
      </c>
      <c r="C41">
        <v>-37.531556108185498</v>
      </c>
      <c r="D41">
        <v>-1.37576999420737</v>
      </c>
      <c r="F41">
        <v>16.5</v>
      </c>
      <c r="G41">
        <v>20</v>
      </c>
    </row>
    <row r="42" spans="1:7" ht="14.5" x14ac:dyDescent="0.35">
      <c r="A42">
        <v>18</v>
      </c>
      <c r="B42">
        <v>64.679133507825497</v>
      </c>
      <c r="C42">
        <v>-0.67913350782554005</v>
      </c>
      <c r="D42">
        <v>-2.4894558046938998E-2</v>
      </c>
      <c r="F42">
        <v>17.5</v>
      </c>
      <c r="G42">
        <v>20</v>
      </c>
    </row>
    <row r="43" spans="1:7" ht="14.5" x14ac:dyDescent="0.35">
      <c r="A43">
        <v>19</v>
      </c>
      <c r="B43">
        <v>52.815038610552001</v>
      </c>
      <c r="C43">
        <v>-16.815038610552001</v>
      </c>
      <c r="D43">
        <v>-0.61637800215777305</v>
      </c>
      <c r="F43">
        <v>18.5</v>
      </c>
      <c r="G43">
        <v>20</v>
      </c>
    </row>
    <row r="44" spans="1:7" ht="14.5" x14ac:dyDescent="0.35">
      <c r="A44">
        <v>20</v>
      </c>
      <c r="B44">
        <v>49.478446466719397</v>
      </c>
      <c r="C44">
        <v>-35.478446466719397</v>
      </c>
      <c r="D44">
        <v>-1.3005104810818</v>
      </c>
      <c r="F44">
        <v>19.5</v>
      </c>
      <c r="G44">
        <v>21</v>
      </c>
    </row>
    <row r="45" spans="1:7" ht="14.5" x14ac:dyDescent="0.35">
      <c r="A45">
        <v>21</v>
      </c>
      <c r="B45">
        <v>45.5926453505392</v>
      </c>
      <c r="C45">
        <v>26.4073546494608</v>
      </c>
      <c r="D45">
        <v>0.96799733132293397</v>
      </c>
      <c r="F45">
        <v>20.5</v>
      </c>
      <c r="G45">
        <v>22</v>
      </c>
    </row>
    <row r="46" spans="1:7" ht="14.5" x14ac:dyDescent="0.35">
      <c r="A46">
        <v>22</v>
      </c>
      <c r="B46">
        <v>40.744252164545401</v>
      </c>
      <c r="C46">
        <v>28.255747835454599</v>
      </c>
      <c r="D46">
        <v>1.0357526856561701</v>
      </c>
      <c r="F46">
        <v>21.5</v>
      </c>
      <c r="G46">
        <v>24</v>
      </c>
    </row>
    <row r="47" spans="1:7" ht="14.5" x14ac:dyDescent="0.35">
      <c r="A47">
        <v>23</v>
      </c>
      <c r="B47">
        <v>49.472540993898498</v>
      </c>
      <c r="C47">
        <v>29.527459006101498</v>
      </c>
      <c r="D47">
        <v>1.0823689800840099</v>
      </c>
      <c r="F47">
        <v>22.5</v>
      </c>
      <c r="G47">
        <v>25</v>
      </c>
    </row>
    <row r="48" spans="1:7" ht="14.5" x14ac:dyDescent="0.35">
      <c r="A48">
        <v>24</v>
      </c>
      <c r="B48">
        <v>46.649724985488</v>
      </c>
      <c r="C48">
        <v>-35.649724985488</v>
      </c>
      <c r="D48">
        <v>-1.3067889270405799</v>
      </c>
      <c r="F48">
        <v>23.5</v>
      </c>
      <c r="G48">
        <v>26</v>
      </c>
    </row>
    <row r="49" spans="1:7" ht="14.5" x14ac:dyDescent="0.35">
      <c r="A49">
        <v>25</v>
      </c>
      <c r="B49">
        <v>60.486247804956299</v>
      </c>
      <c r="C49">
        <v>-30.486247804956299</v>
      </c>
      <c r="D49">
        <v>-1.1175146813825201</v>
      </c>
      <c r="F49">
        <v>24.5</v>
      </c>
      <c r="G49">
        <v>27</v>
      </c>
    </row>
    <row r="50" spans="1:7" ht="14.5" x14ac:dyDescent="0.35">
      <c r="A50">
        <v>26</v>
      </c>
      <c r="B50">
        <v>62.653556330242303</v>
      </c>
      <c r="C50">
        <v>-8.6535563302422496</v>
      </c>
      <c r="D50">
        <v>-0.31720782128013097</v>
      </c>
      <c r="F50">
        <v>25.5</v>
      </c>
      <c r="G50">
        <v>27</v>
      </c>
    </row>
    <row r="51" spans="1:7" ht="14.5" x14ac:dyDescent="0.35">
      <c r="A51">
        <v>27</v>
      </c>
      <c r="B51">
        <v>51.108356965299599</v>
      </c>
      <c r="C51">
        <v>42.891643034700401</v>
      </c>
      <c r="D51">
        <v>1.5722512362476899</v>
      </c>
      <c r="F51">
        <v>26.5</v>
      </c>
      <c r="G51">
        <v>28</v>
      </c>
    </row>
    <row r="52" spans="1:7" ht="14.5" x14ac:dyDescent="0.35">
      <c r="A52">
        <v>28</v>
      </c>
      <c r="B52">
        <v>59.003974126899799</v>
      </c>
      <c r="C52">
        <v>-47.003974126899799</v>
      </c>
      <c r="D52">
        <v>-1.72299429914084</v>
      </c>
      <c r="F52">
        <v>27.5</v>
      </c>
      <c r="G52">
        <v>30</v>
      </c>
    </row>
    <row r="53" spans="1:7" ht="14.5" x14ac:dyDescent="0.35">
      <c r="A53">
        <v>29</v>
      </c>
      <c r="B53">
        <v>64.442914594987798</v>
      </c>
      <c r="C53">
        <v>-8.4429145949878404</v>
      </c>
      <c r="D53">
        <v>-0.309486463336552</v>
      </c>
      <c r="F53">
        <v>28.5</v>
      </c>
      <c r="G53">
        <v>30</v>
      </c>
    </row>
    <row r="54" spans="1:7" ht="14.5" x14ac:dyDescent="0.35">
      <c r="A54">
        <v>30</v>
      </c>
      <c r="B54">
        <v>57.344536264214902</v>
      </c>
      <c r="C54">
        <v>32.655463735785098</v>
      </c>
      <c r="D54">
        <v>1.1970302277134099</v>
      </c>
      <c r="F54">
        <v>29.5</v>
      </c>
      <c r="G54">
        <v>32</v>
      </c>
    </row>
    <row r="55" spans="1:7" ht="14.5" x14ac:dyDescent="0.35">
      <c r="A55">
        <v>31</v>
      </c>
      <c r="B55">
        <v>48.244202647142401</v>
      </c>
      <c r="C55">
        <v>-30.244202647142401</v>
      </c>
      <c r="D55">
        <v>-1.1086421884753901</v>
      </c>
      <c r="F55">
        <v>30.5</v>
      </c>
      <c r="G55">
        <v>33</v>
      </c>
    </row>
    <row r="56" spans="1:7" ht="14.5" x14ac:dyDescent="0.35">
      <c r="A56">
        <v>32</v>
      </c>
      <c r="B56">
        <v>41.045431278413503</v>
      </c>
      <c r="C56">
        <v>52.954568721586497</v>
      </c>
      <c r="D56">
        <v>1.94112139910612</v>
      </c>
      <c r="F56">
        <v>31.5</v>
      </c>
      <c r="G56">
        <v>33</v>
      </c>
    </row>
    <row r="57" spans="1:7" ht="14.5" x14ac:dyDescent="0.35">
      <c r="A57">
        <v>33</v>
      </c>
      <c r="B57">
        <v>46.4548443823968</v>
      </c>
      <c r="C57">
        <v>-26.4548443823968</v>
      </c>
      <c r="D57">
        <v>-0.96973813176877799</v>
      </c>
      <c r="F57">
        <v>32.5</v>
      </c>
      <c r="G57">
        <v>35</v>
      </c>
    </row>
    <row r="58" spans="1:7" ht="14.5" x14ac:dyDescent="0.35">
      <c r="A58">
        <v>34</v>
      </c>
      <c r="B58">
        <v>62.718516531272599</v>
      </c>
      <c r="C58">
        <v>-30.718516531272599</v>
      </c>
      <c r="D58">
        <v>-1.1260288059591199</v>
      </c>
      <c r="F58">
        <v>33.5</v>
      </c>
      <c r="G58">
        <v>36</v>
      </c>
    </row>
    <row r="59" spans="1:7" ht="14.5" x14ac:dyDescent="0.35">
      <c r="A59">
        <v>35</v>
      </c>
      <c r="B59">
        <v>61.5728548040098</v>
      </c>
      <c r="C59">
        <v>4.4271451959902404</v>
      </c>
      <c r="D59">
        <v>0.162283000019663</v>
      </c>
      <c r="F59">
        <v>34.5</v>
      </c>
      <c r="G59">
        <v>36</v>
      </c>
    </row>
    <row r="60" spans="1:7" ht="14.5" x14ac:dyDescent="0.35">
      <c r="A60">
        <v>36</v>
      </c>
      <c r="B60">
        <v>57.2795760631845</v>
      </c>
      <c r="C60">
        <v>-15.2795760631845</v>
      </c>
      <c r="D60">
        <v>-0.56009354398587696</v>
      </c>
      <c r="F60">
        <v>35.5</v>
      </c>
      <c r="G60">
        <v>37</v>
      </c>
    </row>
    <row r="61" spans="1:7" ht="14.5" x14ac:dyDescent="0.35">
      <c r="A61">
        <v>37</v>
      </c>
      <c r="B61">
        <v>56.624068580059898</v>
      </c>
      <c r="C61">
        <v>-14.6240685800599</v>
      </c>
      <c r="D61">
        <v>-0.53606502985601501</v>
      </c>
      <c r="F61">
        <v>36.5</v>
      </c>
      <c r="G61">
        <v>39</v>
      </c>
    </row>
    <row r="62" spans="1:7" ht="14.5" x14ac:dyDescent="0.35">
      <c r="A62">
        <v>38</v>
      </c>
      <c r="B62">
        <v>61.791357298384597</v>
      </c>
      <c r="C62">
        <v>-35.791357298384597</v>
      </c>
      <c r="D62">
        <v>-1.3119806511921599</v>
      </c>
      <c r="F62">
        <v>37.5</v>
      </c>
      <c r="G62">
        <v>40</v>
      </c>
    </row>
    <row r="63" spans="1:7" ht="14.5" x14ac:dyDescent="0.35">
      <c r="A63">
        <v>39</v>
      </c>
      <c r="B63">
        <v>49.513879303645098</v>
      </c>
      <c r="C63">
        <v>-36.513879303645098</v>
      </c>
      <c r="D63">
        <v>-1.3384656733459599</v>
      </c>
      <c r="F63">
        <v>38.5</v>
      </c>
      <c r="G63">
        <v>42</v>
      </c>
    </row>
    <row r="64" spans="1:7" ht="14.5" x14ac:dyDescent="0.35">
      <c r="A64">
        <v>40</v>
      </c>
      <c r="B64">
        <v>39.817092931657399</v>
      </c>
      <c r="C64">
        <v>-19.817092931657399</v>
      </c>
      <c r="D64">
        <v>-0.72642236706639096</v>
      </c>
      <c r="F64">
        <v>39.5</v>
      </c>
      <c r="G64">
        <v>42</v>
      </c>
    </row>
    <row r="65" spans="1:7" ht="14.5" x14ac:dyDescent="0.35">
      <c r="A65">
        <v>41</v>
      </c>
      <c r="B65">
        <v>59.765780120801303</v>
      </c>
      <c r="C65">
        <v>3.2342198791986601</v>
      </c>
      <c r="D65">
        <v>0.11855470771434599</v>
      </c>
      <c r="F65">
        <v>40.5</v>
      </c>
      <c r="G65">
        <v>42</v>
      </c>
    </row>
    <row r="66" spans="1:7" ht="14.5" x14ac:dyDescent="0.35">
      <c r="A66">
        <v>42</v>
      </c>
      <c r="B66">
        <v>42.864316907263799</v>
      </c>
      <c r="C66">
        <v>-2.86431690726377</v>
      </c>
      <c r="D66">
        <v>-0.104995413554273</v>
      </c>
      <c r="F66">
        <v>41.5</v>
      </c>
      <c r="G66">
        <v>45</v>
      </c>
    </row>
    <row r="67" spans="1:7" ht="14.5" x14ac:dyDescent="0.35">
      <c r="A67">
        <v>43</v>
      </c>
      <c r="B67">
        <v>54.421327217848301</v>
      </c>
      <c r="C67">
        <v>24.578672782151699</v>
      </c>
      <c r="D67">
        <v>0.90096452205856503</v>
      </c>
      <c r="F67">
        <v>42.5</v>
      </c>
      <c r="G67">
        <v>46</v>
      </c>
    </row>
    <row r="68" spans="1:7" ht="14.5" x14ac:dyDescent="0.35">
      <c r="A68">
        <v>44</v>
      </c>
      <c r="B68">
        <v>59.629954245919699</v>
      </c>
      <c r="C68">
        <v>34.370045754080301</v>
      </c>
      <c r="D68">
        <v>1.2598805525594801</v>
      </c>
      <c r="F68">
        <v>43.5</v>
      </c>
      <c r="G68">
        <v>48</v>
      </c>
    </row>
    <row r="69" spans="1:7" ht="14.5" x14ac:dyDescent="0.35">
      <c r="A69">
        <v>45</v>
      </c>
      <c r="B69">
        <v>45.574928932076403</v>
      </c>
      <c r="C69">
        <v>2.4250710679236001</v>
      </c>
      <c r="D69">
        <v>8.8894262722617398E-2</v>
      </c>
      <c r="F69">
        <v>44.5</v>
      </c>
      <c r="G69">
        <v>50</v>
      </c>
    </row>
    <row r="70" spans="1:7" ht="14.5" x14ac:dyDescent="0.35">
      <c r="A70">
        <v>46</v>
      </c>
      <c r="B70">
        <v>63.244103612336502</v>
      </c>
      <c r="C70">
        <v>-57.244103612336502</v>
      </c>
      <c r="D70">
        <v>-2.0983601071092801</v>
      </c>
      <c r="F70">
        <v>45.5</v>
      </c>
      <c r="G70">
        <v>50</v>
      </c>
    </row>
    <row r="71" spans="1:7" ht="14.5" x14ac:dyDescent="0.35">
      <c r="A71">
        <v>47</v>
      </c>
      <c r="B71">
        <v>40.496222306065803</v>
      </c>
      <c r="C71">
        <v>-26.4962223060658</v>
      </c>
      <c r="D71">
        <v>-0.97125489557261002</v>
      </c>
      <c r="F71">
        <v>46.5</v>
      </c>
      <c r="G71">
        <v>50</v>
      </c>
    </row>
    <row r="72" spans="1:7" ht="14.5" x14ac:dyDescent="0.35">
      <c r="A72">
        <v>48</v>
      </c>
      <c r="B72">
        <v>63.427173269785698</v>
      </c>
      <c r="C72">
        <v>-35.427173269785698</v>
      </c>
      <c r="D72">
        <v>-1.29863099264159</v>
      </c>
      <c r="F72">
        <v>47.5</v>
      </c>
      <c r="G72">
        <v>51</v>
      </c>
    </row>
    <row r="73" spans="1:7" ht="14.5" x14ac:dyDescent="0.35">
      <c r="A73">
        <v>49</v>
      </c>
      <c r="B73">
        <v>64.454725540629696</v>
      </c>
      <c r="C73">
        <v>22.545274459370301</v>
      </c>
      <c r="D73">
        <v>0.82642755400186096</v>
      </c>
      <c r="F73">
        <v>48.5</v>
      </c>
      <c r="G73">
        <v>52</v>
      </c>
    </row>
    <row r="74" spans="1:7" ht="14.5" x14ac:dyDescent="0.35">
      <c r="A74">
        <v>50</v>
      </c>
      <c r="B74">
        <v>61.885844863519701</v>
      </c>
      <c r="C74">
        <v>8.1141551364802798</v>
      </c>
      <c r="D74">
        <v>0.29743534035559199</v>
      </c>
      <c r="F74">
        <v>49.5</v>
      </c>
      <c r="G74">
        <v>54</v>
      </c>
    </row>
    <row r="75" spans="1:7" ht="14.5" x14ac:dyDescent="0.35">
      <c r="A75">
        <v>51</v>
      </c>
      <c r="B75">
        <v>61.8090737168475</v>
      </c>
      <c r="C75">
        <v>24.1909262831525</v>
      </c>
      <c r="D75">
        <v>0.886751149259838</v>
      </c>
      <c r="F75">
        <v>50.5</v>
      </c>
      <c r="G75">
        <v>54</v>
      </c>
    </row>
    <row r="76" spans="1:7" ht="14.5" x14ac:dyDescent="0.35">
      <c r="A76">
        <v>52</v>
      </c>
      <c r="B76">
        <v>46.265869252126699</v>
      </c>
      <c r="C76">
        <v>14.7341307478733</v>
      </c>
      <c r="D76">
        <v>0.54009950760424996</v>
      </c>
      <c r="F76">
        <v>51.5</v>
      </c>
      <c r="G76">
        <v>54</v>
      </c>
    </row>
    <row r="77" spans="1:7" ht="14.5" x14ac:dyDescent="0.35">
      <c r="A77">
        <v>53</v>
      </c>
      <c r="B77">
        <v>42.132038277466897</v>
      </c>
      <c r="C77">
        <v>-17.132038277466901</v>
      </c>
      <c r="D77">
        <v>-0.62799805405911602</v>
      </c>
      <c r="F77">
        <v>52.5</v>
      </c>
      <c r="G77">
        <v>56</v>
      </c>
    </row>
    <row r="78" spans="1:7" ht="14.5" x14ac:dyDescent="0.35">
      <c r="A78">
        <v>54</v>
      </c>
      <c r="B78">
        <v>54.568964038371902</v>
      </c>
      <c r="C78">
        <v>-18.568964038371899</v>
      </c>
      <c r="D78">
        <v>-0.680670512937674</v>
      </c>
      <c r="F78">
        <v>53.5</v>
      </c>
      <c r="G78">
        <v>58</v>
      </c>
    </row>
    <row r="79" spans="1:7" ht="14.5" x14ac:dyDescent="0.35">
      <c r="A79">
        <v>55</v>
      </c>
      <c r="B79">
        <v>48.0197946799466</v>
      </c>
      <c r="C79">
        <v>44.9802053200534</v>
      </c>
      <c r="D79">
        <v>1.6488103140258501</v>
      </c>
      <c r="F79">
        <v>54.5</v>
      </c>
      <c r="G79">
        <v>59</v>
      </c>
    </row>
    <row r="80" spans="1:7" ht="14.5" x14ac:dyDescent="0.35">
      <c r="A80">
        <v>56</v>
      </c>
      <c r="B80">
        <v>51.055207709911102</v>
      </c>
      <c r="C80">
        <v>42.944792290088898</v>
      </c>
      <c r="D80">
        <v>1.5741994941501101</v>
      </c>
      <c r="F80">
        <v>55.5</v>
      </c>
      <c r="G80">
        <v>60</v>
      </c>
    </row>
    <row r="81" spans="1:7" ht="14.5" x14ac:dyDescent="0.35">
      <c r="A81">
        <v>57</v>
      </c>
      <c r="B81">
        <v>51.350481350958198</v>
      </c>
      <c r="C81">
        <v>39.649518649041802</v>
      </c>
      <c r="D81">
        <v>1.4534067781490201</v>
      </c>
      <c r="F81">
        <v>56.5</v>
      </c>
      <c r="G81">
        <v>60</v>
      </c>
    </row>
    <row r="82" spans="1:7" ht="14.5" x14ac:dyDescent="0.35">
      <c r="A82">
        <v>58</v>
      </c>
      <c r="B82">
        <v>62.181118504566797</v>
      </c>
      <c r="C82">
        <v>-11.1811185045668</v>
      </c>
      <c r="D82">
        <v>-0.40985903424624898</v>
      </c>
      <c r="F82">
        <v>57.5</v>
      </c>
      <c r="G82">
        <v>61</v>
      </c>
    </row>
    <row r="83" spans="1:7" ht="14.5" x14ac:dyDescent="0.35">
      <c r="A83">
        <v>59</v>
      </c>
      <c r="B83">
        <v>62.246078705597199</v>
      </c>
      <c r="C83">
        <v>-17.246078705597199</v>
      </c>
      <c r="D83">
        <v>-0.63217836032448904</v>
      </c>
      <c r="F83">
        <v>58.5</v>
      </c>
      <c r="G83">
        <v>61</v>
      </c>
    </row>
    <row r="84" spans="1:7" ht="14.5" x14ac:dyDescent="0.35">
      <c r="A84">
        <v>60</v>
      </c>
      <c r="B84">
        <v>43.785570667330802</v>
      </c>
      <c r="C84">
        <v>56.214429332669198</v>
      </c>
      <c r="D84">
        <v>2.0606160025565701</v>
      </c>
      <c r="F84">
        <v>59.5</v>
      </c>
      <c r="G84">
        <v>62</v>
      </c>
    </row>
    <row r="85" spans="1:7" ht="14.5" x14ac:dyDescent="0.35">
      <c r="A85">
        <v>61</v>
      </c>
      <c r="B85">
        <v>57.692959160650503</v>
      </c>
      <c r="C85">
        <v>-33.692959160650503</v>
      </c>
      <c r="D85">
        <v>-1.23506102693055</v>
      </c>
      <c r="F85">
        <v>60.5</v>
      </c>
      <c r="G85">
        <v>62</v>
      </c>
    </row>
    <row r="86" spans="1:7" ht="14.5" x14ac:dyDescent="0.35">
      <c r="A86">
        <v>62</v>
      </c>
      <c r="B86">
        <v>51.929217687410599</v>
      </c>
      <c r="C86">
        <v>21.070782312589401</v>
      </c>
      <c r="D86">
        <v>0.77237804839681401</v>
      </c>
      <c r="F86">
        <v>61.5</v>
      </c>
      <c r="G86">
        <v>63</v>
      </c>
    </row>
    <row r="87" spans="1:7" ht="14.5" x14ac:dyDescent="0.35">
      <c r="A87">
        <v>63</v>
      </c>
      <c r="B87">
        <v>46.944998626535103</v>
      </c>
      <c r="C87">
        <v>7.0550013734649299</v>
      </c>
      <c r="D87">
        <v>0.25861062543548402</v>
      </c>
      <c r="F87">
        <v>62.5</v>
      </c>
      <c r="G87">
        <v>64</v>
      </c>
    </row>
    <row r="88" spans="1:7" ht="14.5" x14ac:dyDescent="0.35">
      <c r="A88">
        <v>64</v>
      </c>
      <c r="B88">
        <v>49.295376809270202</v>
      </c>
      <c r="C88">
        <v>22.704623190729802</v>
      </c>
      <c r="D88">
        <v>0.83226869745425303</v>
      </c>
      <c r="F88">
        <v>63.5</v>
      </c>
      <c r="G88">
        <v>66</v>
      </c>
    </row>
    <row r="89" spans="1:7" ht="14.5" x14ac:dyDescent="0.35">
      <c r="A89">
        <v>65</v>
      </c>
      <c r="B89">
        <v>48.852466347699497</v>
      </c>
      <c r="C89">
        <v>1.14753365230048</v>
      </c>
      <c r="D89">
        <v>4.2064399398400502E-2</v>
      </c>
      <c r="F89">
        <v>64.5</v>
      </c>
      <c r="G89">
        <v>66</v>
      </c>
    </row>
    <row r="90" spans="1:7" ht="14.5" x14ac:dyDescent="0.35">
      <c r="A90">
        <v>66</v>
      </c>
      <c r="B90">
        <v>49.147739988746601</v>
      </c>
      <c r="C90">
        <v>-22.147739988746601</v>
      </c>
      <c r="D90">
        <v>-0.81185538985362804</v>
      </c>
      <c r="F90">
        <v>65.5</v>
      </c>
      <c r="G90">
        <v>67</v>
      </c>
    </row>
    <row r="91" spans="1:7" ht="14.5" x14ac:dyDescent="0.35">
      <c r="A91">
        <v>67</v>
      </c>
      <c r="B91">
        <v>47.618222528122502</v>
      </c>
      <c r="C91">
        <v>-14.6182225281225</v>
      </c>
      <c r="D91">
        <v>-0.53585073490866797</v>
      </c>
      <c r="F91">
        <v>66.5</v>
      </c>
      <c r="G91">
        <v>69</v>
      </c>
    </row>
    <row r="92" spans="1:7" ht="14.5" x14ac:dyDescent="0.35">
      <c r="A92">
        <v>68</v>
      </c>
      <c r="B92">
        <v>63.562999144667401</v>
      </c>
      <c r="C92">
        <v>-13.562999144667399</v>
      </c>
      <c r="D92">
        <v>-0.497170093371748</v>
      </c>
      <c r="F92">
        <v>67.5</v>
      </c>
      <c r="G92">
        <v>69</v>
      </c>
    </row>
    <row r="93" spans="1:7" ht="14.5" x14ac:dyDescent="0.35">
      <c r="A93">
        <v>69</v>
      </c>
      <c r="B93">
        <v>47.033580718849201</v>
      </c>
      <c r="C93">
        <v>32.966419281150799</v>
      </c>
      <c r="D93">
        <v>1.2084287241576701</v>
      </c>
      <c r="F93">
        <v>68.5</v>
      </c>
      <c r="G93">
        <v>69</v>
      </c>
    </row>
    <row r="94" spans="1:7" ht="14.5" x14ac:dyDescent="0.35">
      <c r="A94">
        <v>70</v>
      </c>
      <c r="B94">
        <v>42.569043266216703</v>
      </c>
      <c r="C94">
        <v>-31.569043266216699</v>
      </c>
      <c r="D94">
        <v>-1.1572060147546801</v>
      </c>
      <c r="F94">
        <v>69.5</v>
      </c>
      <c r="G94">
        <v>70</v>
      </c>
    </row>
    <row r="95" spans="1:7" ht="14.5" x14ac:dyDescent="0.35">
      <c r="A95">
        <v>71</v>
      </c>
      <c r="B95">
        <v>49.7382872708409</v>
      </c>
      <c r="C95">
        <v>32.2617127291591</v>
      </c>
      <c r="D95">
        <v>1.1825967515595399</v>
      </c>
      <c r="F95">
        <v>70.5</v>
      </c>
      <c r="G95">
        <v>71</v>
      </c>
    </row>
    <row r="96" spans="1:7" ht="14.5" x14ac:dyDescent="0.35">
      <c r="A96">
        <v>72</v>
      </c>
      <c r="B96">
        <v>64.5078747960182</v>
      </c>
      <c r="C96">
        <v>8.4921252039818</v>
      </c>
      <c r="D96">
        <v>0.31129034482378398</v>
      </c>
      <c r="F96">
        <v>71.5</v>
      </c>
      <c r="G96">
        <v>72</v>
      </c>
    </row>
    <row r="97" spans="1:7" ht="14.5" x14ac:dyDescent="0.35">
      <c r="A97">
        <v>73</v>
      </c>
      <c r="B97">
        <v>53.151650561345697</v>
      </c>
      <c r="C97">
        <v>17.848349438654299</v>
      </c>
      <c r="D97">
        <v>0.65425540931603099</v>
      </c>
      <c r="F97">
        <v>72.5</v>
      </c>
      <c r="G97">
        <v>72</v>
      </c>
    </row>
    <row r="98" spans="1:7" ht="14.5" x14ac:dyDescent="0.35">
      <c r="A98">
        <v>74</v>
      </c>
      <c r="B98">
        <v>57.610282541157297</v>
      </c>
      <c r="C98">
        <v>9.3897174588426804</v>
      </c>
      <c r="D98">
        <v>0.344192803962728</v>
      </c>
      <c r="F98">
        <v>73.5</v>
      </c>
      <c r="G98">
        <v>73</v>
      </c>
    </row>
    <row r="99" spans="1:7" ht="14.5" x14ac:dyDescent="0.35">
      <c r="A99">
        <v>75</v>
      </c>
      <c r="B99">
        <v>62.547257819465301</v>
      </c>
      <c r="C99">
        <v>19.452742180534699</v>
      </c>
      <c r="D99">
        <v>0.71306659707602305</v>
      </c>
      <c r="F99">
        <v>74.5</v>
      </c>
      <c r="G99">
        <v>73</v>
      </c>
    </row>
    <row r="100" spans="1:7" ht="14.5" x14ac:dyDescent="0.35">
      <c r="A100">
        <v>76</v>
      </c>
      <c r="B100">
        <v>42.622192521605101</v>
      </c>
      <c r="C100">
        <v>-37.622192521605101</v>
      </c>
      <c r="D100">
        <v>-1.3790923946323801</v>
      </c>
      <c r="F100">
        <v>75.5</v>
      </c>
      <c r="G100">
        <v>79</v>
      </c>
    </row>
    <row r="101" spans="1:7" ht="14.5" x14ac:dyDescent="0.35">
      <c r="A101">
        <v>77</v>
      </c>
      <c r="B101">
        <v>43.850530868361197</v>
      </c>
      <c r="C101">
        <v>16.149469131638799</v>
      </c>
      <c r="D101">
        <v>0.59198065195173499</v>
      </c>
      <c r="F101">
        <v>76.5</v>
      </c>
      <c r="G101">
        <v>79</v>
      </c>
    </row>
    <row r="102" spans="1:7" ht="14.5" x14ac:dyDescent="0.35">
      <c r="A102">
        <v>78</v>
      </c>
      <c r="B102">
        <v>45.551307040792601</v>
      </c>
      <c r="C102">
        <v>4.4486929592073601</v>
      </c>
      <c r="D102">
        <v>0.16307286244878699</v>
      </c>
      <c r="F102">
        <v>77.5</v>
      </c>
      <c r="G102">
        <v>80</v>
      </c>
    </row>
    <row r="103" spans="1:7" ht="14.5" x14ac:dyDescent="0.35">
      <c r="A103">
        <v>79</v>
      </c>
      <c r="B103">
        <v>42.610381575963302</v>
      </c>
      <c r="C103">
        <v>-25.610381575963299</v>
      </c>
      <c r="D103">
        <v>-0.93878320448128205</v>
      </c>
      <c r="F103">
        <v>78.5</v>
      </c>
      <c r="G103">
        <v>81</v>
      </c>
    </row>
    <row r="104" spans="1:7" ht="14.5" x14ac:dyDescent="0.35">
      <c r="A104">
        <v>80</v>
      </c>
      <c r="B104">
        <v>55.773680493844203</v>
      </c>
      <c r="C104">
        <v>25.2263195061558</v>
      </c>
      <c r="D104">
        <v>0.92470488942205098</v>
      </c>
      <c r="F104">
        <v>79.5</v>
      </c>
      <c r="G104">
        <v>82</v>
      </c>
    </row>
    <row r="105" spans="1:7" ht="14.5" x14ac:dyDescent="0.35">
      <c r="A105">
        <v>81</v>
      </c>
      <c r="B105">
        <v>41.641884033328701</v>
      </c>
      <c r="C105">
        <v>-21.641884033328701</v>
      </c>
      <c r="D105">
        <v>-0.79331255504952103</v>
      </c>
      <c r="F105">
        <v>80.5</v>
      </c>
      <c r="G105">
        <v>82</v>
      </c>
    </row>
    <row r="106" spans="1:7" ht="14.5" x14ac:dyDescent="0.35">
      <c r="A106">
        <v>82</v>
      </c>
      <c r="B106">
        <v>45.208789617177999</v>
      </c>
      <c r="C106">
        <v>-8.2087896171779597</v>
      </c>
      <c r="D106">
        <v>-0.30090429534871799</v>
      </c>
      <c r="F106">
        <v>81.5</v>
      </c>
      <c r="G106">
        <v>82</v>
      </c>
    </row>
    <row r="107" spans="1:7" ht="14.5" x14ac:dyDescent="0.35">
      <c r="A107">
        <v>83</v>
      </c>
      <c r="B107">
        <v>42.2324313154229</v>
      </c>
      <c r="C107">
        <v>-7.2324313154229198</v>
      </c>
      <c r="D107">
        <v>-0.26511456013822099</v>
      </c>
      <c r="F107">
        <v>82.5</v>
      </c>
      <c r="G107">
        <v>86</v>
      </c>
    </row>
    <row r="108" spans="1:7" ht="14.5" x14ac:dyDescent="0.35">
      <c r="A108">
        <v>84</v>
      </c>
      <c r="B108">
        <v>55.330770032273499</v>
      </c>
      <c r="C108">
        <v>35.669229967726501</v>
      </c>
      <c r="D108">
        <v>1.3075039085677</v>
      </c>
      <c r="F108">
        <v>83.5</v>
      </c>
      <c r="G108">
        <v>87</v>
      </c>
    </row>
    <row r="109" spans="1:7" ht="14.5" x14ac:dyDescent="0.35">
      <c r="A109">
        <v>85</v>
      </c>
      <c r="B109">
        <v>51.037491291448298</v>
      </c>
      <c r="C109">
        <v>10.962508708551701</v>
      </c>
      <c r="D109">
        <v>0.40184559624942201</v>
      </c>
      <c r="F109">
        <v>84.5</v>
      </c>
      <c r="G109">
        <v>90</v>
      </c>
    </row>
    <row r="110" spans="1:7" ht="14.5" x14ac:dyDescent="0.35">
      <c r="A110">
        <v>86</v>
      </c>
      <c r="B110">
        <v>65.464561393010896</v>
      </c>
      <c r="C110">
        <v>0.53543860698910395</v>
      </c>
      <c r="D110">
        <v>1.9627226942373999E-2</v>
      </c>
      <c r="F110">
        <v>85.5</v>
      </c>
      <c r="G110">
        <v>90</v>
      </c>
    </row>
    <row r="111" spans="1:7" ht="14.5" x14ac:dyDescent="0.35">
      <c r="A111">
        <v>87</v>
      </c>
      <c r="B111">
        <v>63.456700633890399</v>
      </c>
      <c r="C111">
        <v>26.543299366109601</v>
      </c>
      <c r="D111">
        <v>0.97298056893496698</v>
      </c>
      <c r="F111">
        <v>86.5</v>
      </c>
      <c r="G111">
        <v>91</v>
      </c>
    </row>
    <row r="112" spans="1:7" ht="14.5" x14ac:dyDescent="0.35">
      <c r="A112">
        <v>88</v>
      </c>
      <c r="B112">
        <v>46.714685186518302</v>
      </c>
      <c r="C112">
        <v>-13.714685186518301</v>
      </c>
      <c r="D112">
        <v>-0.50273035056750703</v>
      </c>
      <c r="F112">
        <v>87.5</v>
      </c>
      <c r="G112">
        <v>91</v>
      </c>
    </row>
    <row r="113" spans="1:7" ht="14.5" x14ac:dyDescent="0.35">
      <c r="A113">
        <v>89</v>
      </c>
      <c r="B113">
        <v>52.059138089471297</v>
      </c>
      <c r="C113">
        <v>29.940861910528699</v>
      </c>
      <c r="D113">
        <v>1.0975228231538201</v>
      </c>
      <c r="F113">
        <v>88.5</v>
      </c>
      <c r="G113">
        <v>92</v>
      </c>
    </row>
    <row r="114" spans="1:7" ht="14.5" x14ac:dyDescent="0.35">
      <c r="A114">
        <v>90</v>
      </c>
      <c r="B114">
        <v>41.937157674375797</v>
      </c>
      <c r="C114">
        <v>-20.937157674375801</v>
      </c>
      <c r="D114">
        <v>-0.76747985640042504</v>
      </c>
      <c r="F114">
        <v>89.5</v>
      </c>
      <c r="G114">
        <v>93</v>
      </c>
    </row>
    <row r="115" spans="1:7" ht="14.5" x14ac:dyDescent="0.35">
      <c r="A115">
        <v>91</v>
      </c>
      <c r="B115">
        <v>47.6241280009435</v>
      </c>
      <c r="C115">
        <v>4.3758719990565398</v>
      </c>
      <c r="D115">
        <v>0.16040351157945201</v>
      </c>
      <c r="F115">
        <v>90.5</v>
      </c>
      <c r="G115">
        <v>94</v>
      </c>
    </row>
    <row r="116" spans="1:7" ht="14.5" x14ac:dyDescent="0.35">
      <c r="A116">
        <v>92</v>
      </c>
      <c r="B116">
        <v>53.494167984960399</v>
      </c>
      <c r="C116">
        <v>45.505832015039601</v>
      </c>
      <c r="D116">
        <v>1.66807787205174</v>
      </c>
      <c r="F116">
        <v>91.5</v>
      </c>
      <c r="G116">
        <v>94</v>
      </c>
    </row>
    <row r="117" spans="1:7" ht="14.5" x14ac:dyDescent="0.35">
      <c r="A117">
        <v>93</v>
      </c>
      <c r="B117">
        <v>63.391740432860097</v>
      </c>
      <c r="C117">
        <v>-9.3917404328600593</v>
      </c>
      <c r="D117">
        <v>-0.34426695881375902</v>
      </c>
      <c r="F117">
        <v>92.5</v>
      </c>
      <c r="G117">
        <v>94</v>
      </c>
    </row>
    <row r="118" spans="1:7" ht="14.5" x14ac:dyDescent="0.35">
      <c r="A118">
        <v>94</v>
      </c>
      <c r="B118">
        <v>40.962754658920304</v>
      </c>
      <c r="C118">
        <v>-13.9627546589203</v>
      </c>
      <c r="D118">
        <v>-0.51182367288075503</v>
      </c>
      <c r="F118">
        <v>93.5</v>
      </c>
      <c r="G118">
        <v>94</v>
      </c>
    </row>
    <row r="119" spans="1:7" ht="14.5" x14ac:dyDescent="0.35">
      <c r="A119">
        <v>95</v>
      </c>
      <c r="B119">
        <v>65.163382279142795</v>
      </c>
      <c r="C119">
        <v>-55.163382279142802</v>
      </c>
      <c r="D119">
        <v>-2.0220884500465299</v>
      </c>
      <c r="F119">
        <v>94.5</v>
      </c>
      <c r="G119">
        <v>95</v>
      </c>
    </row>
    <row r="120" spans="1:7" ht="14.5" x14ac:dyDescent="0.35">
      <c r="A120">
        <v>96</v>
      </c>
      <c r="B120">
        <v>60.935063739348003</v>
      </c>
      <c r="C120">
        <v>8.0649362606520292</v>
      </c>
      <c r="D120">
        <v>0.29563115583635902</v>
      </c>
      <c r="F120">
        <v>95.5</v>
      </c>
      <c r="G120">
        <v>96</v>
      </c>
    </row>
    <row r="121" spans="1:7" ht="14.5" x14ac:dyDescent="0.35">
      <c r="A121">
        <v>97</v>
      </c>
      <c r="B121">
        <v>48.769789728206298</v>
      </c>
      <c r="C121">
        <v>10.2302102717937</v>
      </c>
      <c r="D121">
        <v>0.37500220576508803</v>
      </c>
      <c r="F121">
        <v>96.5</v>
      </c>
      <c r="G121">
        <v>97</v>
      </c>
    </row>
    <row r="122" spans="1:7" ht="14.5" x14ac:dyDescent="0.35">
      <c r="A122">
        <v>98</v>
      </c>
      <c r="B122">
        <v>58.755944268420201</v>
      </c>
      <c r="C122">
        <v>37.244055731579799</v>
      </c>
      <c r="D122">
        <v>1.3652312787243901</v>
      </c>
      <c r="F122">
        <v>97.5</v>
      </c>
      <c r="G122">
        <v>97</v>
      </c>
    </row>
    <row r="123" spans="1:7" ht="14.5" x14ac:dyDescent="0.35">
      <c r="A123">
        <v>99</v>
      </c>
      <c r="B123">
        <v>47.452869289136103</v>
      </c>
      <c r="C123">
        <v>-33.452869289136103</v>
      </c>
      <c r="D123">
        <v>-1.2262602076895299</v>
      </c>
      <c r="F123">
        <v>98.5</v>
      </c>
      <c r="G123">
        <v>99</v>
      </c>
    </row>
    <row r="124" spans="1:7" ht="15" customHeight="1" x14ac:dyDescent="0.35">
      <c r="A124" s="24">
        <v>100</v>
      </c>
      <c r="B124" s="24">
        <v>62.6712727487051</v>
      </c>
      <c r="C124" s="24">
        <v>-4.6712727487050802</v>
      </c>
      <c r="D124" s="24">
        <v>-0.17123182593075101</v>
      </c>
      <c r="F124" s="24">
        <v>99.5</v>
      </c>
      <c r="G124" s="24">
        <v>100</v>
      </c>
    </row>
  </sheetData>
  <mergeCells count="1">
    <mergeCell ref="A3:B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zoomScaleNormal="100" workbookViewId="0"/>
  </sheetViews>
  <sheetFormatPr defaultColWidth="8.6328125" defaultRowHeight="14.25" customHeight="1" x14ac:dyDescent="0.35"/>
  <cols>
    <col min="2" max="2" width="10" customWidth="1"/>
    <col min="3" max="3" width="12.6328125" customWidth="1"/>
    <col min="5" max="5" width="10" customWidth="1"/>
    <col min="6" max="6" width="12.6328125" customWidth="1"/>
  </cols>
  <sheetData>
    <row r="1" spans="1:6" ht="14.5" x14ac:dyDescent="0.35">
      <c r="A1" s="23" t="s">
        <v>75</v>
      </c>
      <c r="B1" s="23" t="s">
        <v>76</v>
      </c>
      <c r="C1" s="23" t="s">
        <v>77</v>
      </c>
      <c r="D1" s="23" t="s">
        <v>75</v>
      </c>
      <c r="E1" s="23" t="s">
        <v>76</v>
      </c>
      <c r="F1" s="23" t="s">
        <v>77</v>
      </c>
    </row>
    <row r="2" spans="1:6" ht="14.5" x14ac:dyDescent="0.35">
      <c r="A2">
        <v>5</v>
      </c>
      <c r="B2">
        <v>1</v>
      </c>
      <c r="C2" s="25">
        <v>0.01</v>
      </c>
      <c r="D2" t="s">
        <v>78</v>
      </c>
      <c r="E2">
        <v>14</v>
      </c>
      <c r="F2" s="25">
        <v>0.14000000000000001</v>
      </c>
    </row>
    <row r="3" spans="1:6" ht="14.5" x14ac:dyDescent="0.35">
      <c r="A3">
        <v>14.5</v>
      </c>
      <c r="B3">
        <v>11</v>
      </c>
      <c r="C3" s="25">
        <v>0.12</v>
      </c>
      <c r="D3">
        <v>62</v>
      </c>
      <c r="E3">
        <v>12</v>
      </c>
      <c r="F3" s="25">
        <v>0.26</v>
      </c>
    </row>
    <row r="4" spans="1:6" ht="14.5" x14ac:dyDescent="0.35">
      <c r="A4">
        <v>24</v>
      </c>
      <c r="B4">
        <v>10</v>
      </c>
      <c r="C4" s="25">
        <v>0.22</v>
      </c>
      <c r="D4">
        <v>14.5</v>
      </c>
      <c r="E4">
        <v>11</v>
      </c>
      <c r="F4" s="25">
        <v>0.37</v>
      </c>
    </row>
    <row r="5" spans="1:6" ht="14.5" x14ac:dyDescent="0.35">
      <c r="A5">
        <v>33.5</v>
      </c>
      <c r="B5">
        <v>10</v>
      </c>
      <c r="C5" s="25">
        <v>0.32</v>
      </c>
      <c r="D5">
        <v>24</v>
      </c>
      <c r="E5">
        <v>10</v>
      </c>
      <c r="F5" s="25">
        <v>0.47</v>
      </c>
    </row>
    <row r="6" spans="1:6" ht="14.5" x14ac:dyDescent="0.35">
      <c r="A6">
        <v>43</v>
      </c>
      <c r="B6">
        <v>9</v>
      </c>
      <c r="C6" s="25">
        <v>0.41</v>
      </c>
      <c r="D6">
        <v>33.5</v>
      </c>
      <c r="E6">
        <v>10</v>
      </c>
      <c r="F6" s="25">
        <v>0.56999999999999995</v>
      </c>
    </row>
    <row r="7" spans="1:6" ht="14.5" x14ac:dyDescent="0.35">
      <c r="A7">
        <v>52.5</v>
      </c>
      <c r="B7">
        <v>8</v>
      </c>
      <c r="C7" s="25">
        <v>0.49</v>
      </c>
      <c r="D7">
        <v>71.5</v>
      </c>
      <c r="E7">
        <v>10</v>
      </c>
      <c r="F7" s="25">
        <v>0.67</v>
      </c>
    </row>
    <row r="8" spans="1:6" ht="14.5" x14ac:dyDescent="0.35">
      <c r="A8">
        <v>62</v>
      </c>
      <c r="B8">
        <v>12</v>
      </c>
      <c r="C8" s="25">
        <v>0.61</v>
      </c>
      <c r="D8">
        <v>43</v>
      </c>
      <c r="E8">
        <v>9</v>
      </c>
      <c r="F8" s="25">
        <v>0.76</v>
      </c>
    </row>
    <row r="9" spans="1:6" ht="14.5" x14ac:dyDescent="0.35">
      <c r="A9">
        <v>71.5</v>
      </c>
      <c r="B9">
        <v>10</v>
      </c>
      <c r="C9" s="25">
        <v>0.71</v>
      </c>
      <c r="D9">
        <v>52.5</v>
      </c>
      <c r="E9">
        <v>8</v>
      </c>
      <c r="F9" s="25">
        <v>0.84</v>
      </c>
    </row>
    <row r="10" spans="1:6" ht="14.5" x14ac:dyDescent="0.35">
      <c r="A10">
        <v>81</v>
      </c>
      <c r="B10">
        <v>8</v>
      </c>
      <c r="C10" s="25">
        <v>0.79</v>
      </c>
      <c r="D10">
        <v>81</v>
      </c>
      <c r="E10">
        <v>8</v>
      </c>
      <c r="F10" s="25">
        <v>0.92</v>
      </c>
    </row>
    <row r="11" spans="1:6" ht="14.5" x14ac:dyDescent="0.35">
      <c r="A11">
        <v>90.5</v>
      </c>
      <c r="B11">
        <v>7</v>
      </c>
      <c r="C11" s="25">
        <v>0.86</v>
      </c>
      <c r="D11">
        <v>90.5</v>
      </c>
      <c r="E11">
        <v>7</v>
      </c>
      <c r="F11" s="25">
        <v>0.99</v>
      </c>
    </row>
    <row r="12" spans="1:6" ht="15" customHeight="1" x14ac:dyDescent="0.35">
      <c r="A12" s="24" t="s">
        <v>78</v>
      </c>
      <c r="B12" s="24">
        <v>14</v>
      </c>
      <c r="C12" s="26">
        <v>1</v>
      </c>
      <c r="D12" s="24">
        <v>5</v>
      </c>
      <c r="E12" s="24">
        <v>1</v>
      </c>
      <c r="F12" s="26">
        <v>1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zoomScaleNormal="100" workbookViewId="0"/>
  </sheetViews>
  <sheetFormatPr defaultColWidth="8.6328125" defaultRowHeight="14.25" customHeight="1" x14ac:dyDescent="0.35"/>
  <cols>
    <col min="1" max="1" width="21.81640625" customWidth="1"/>
    <col min="2" max="2" width="19.90625" customWidth="1"/>
    <col min="4" max="4" width="21.81640625" customWidth="1"/>
    <col min="5" max="5" width="22.26953125" customWidth="1"/>
    <col min="6" max="6" width="20.453125" customWidth="1"/>
  </cols>
  <sheetData>
    <row r="1" spans="1:6" ht="15" customHeight="1" x14ac:dyDescent="0.35">
      <c r="A1" t="s">
        <v>66</v>
      </c>
      <c r="B1" t="s">
        <v>74</v>
      </c>
    </row>
    <row r="2" spans="1:6" ht="14.5" x14ac:dyDescent="0.35">
      <c r="A2">
        <v>2829</v>
      </c>
      <c r="B2">
        <v>39</v>
      </c>
      <c r="D2" s="23"/>
      <c r="E2" s="23" t="s">
        <v>66</v>
      </c>
      <c r="F2" s="23" t="s">
        <v>74</v>
      </c>
    </row>
    <row r="3" spans="1:6" ht="14.5" x14ac:dyDescent="0.35">
      <c r="A3">
        <v>3589</v>
      </c>
      <c r="B3">
        <v>60</v>
      </c>
      <c r="D3" t="s">
        <v>66</v>
      </c>
      <c r="E3">
        <v>1</v>
      </c>
    </row>
    <row r="4" spans="1:6" ht="15" customHeight="1" x14ac:dyDescent="0.35">
      <c r="A4">
        <v>2438</v>
      </c>
      <c r="B4">
        <v>97</v>
      </c>
      <c r="D4" s="24" t="s">
        <v>74</v>
      </c>
      <c r="E4" s="24">
        <v>0.26738541072336602</v>
      </c>
      <c r="F4" s="24">
        <v>1</v>
      </c>
    </row>
    <row r="5" spans="1:6" ht="14.5" x14ac:dyDescent="0.35">
      <c r="A5">
        <v>2646</v>
      </c>
      <c r="B5">
        <v>97</v>
      </c>
    </row>
    <row r="6" spans="1:6" ht="15" customHeight="1" x14ac:dyDescent="0.35">
      <c r="A6">
        <v>2680</v>
      </c>
      <c r="B6">
        <v>46</v>
      </c>
    </row>
    <row r="7" spans="1:6" ht="14.5" x14ac:dyDescent="0.35">
      <c r="A7">
        <v>818</v>
      </c>
      <c r="B7">
        <v>30</v>
      </c>
      <c r="D7" s="23"/>
      <c r="E7" s="23" t="s">
        <v>66</v>
      </c>
      <c r="F7" s="23" t="s">
        <v>74</v>
      </c>
    </row>
    <row r="8" spans="1:6" ht="14.5" x14ac:dyDescent="0.35">
      <c r="A8">
        <v>1199</v>
      </c>
      <c r="B8">
        <v>11</v>
      </c>
      <c r="D8" t="s">
        <v>66</v>
      </c>
      <c r="E8">
        <f>VARP('Correlation &amp; Covariance'!$A$2:$A$101)</f>
        <v>1626741.2095999999</v>
      </c>
    </row>
    <row r="9" spans="1:6" ht="15" customHeight="1" x14ac:dyDescent="0.35">
      <c r="A9">
        <v>4092</v>
      </c>
      <c r="B9">
        <v>69</v>
      </c>
      <c r="D9" s="24" t="s">
        <v>74</v>
      </c>
      <c r="E9" s="24">
        <v>9606.6759999999995</v>
      </c>
      <c r="F9" s="24">
        <f>VARP('Correlation &amp; Covariance'!$B$2:$B$101)</f>
        <v>793.51</v>
      </c>
    </row>
    <row r="10" spans="1:6" ht="14.5" x14ac:dyDescent="0.35">
      <c r="A10">
        <v>4156</v>
      </c>
      <c r="B10">
        <v>95</v>
      </c>
    </row>
    <row r="11" spans="1:6" ht="14.5" x14ac:dyDescent="0.35">
      <c r="A11">
        <v>2490</v>
      </c>
      <c r="B11">
        <v>22</v>
      </c>
    </row>
    <row r="12" spans="1:6" ht="14.5" x14ac:dyDescent="0.35">
      <c r="A12">
        <v>1497</v>
      </c>
      <c r="B12">
        <v>10</v>
      </c>
    </row>
    <row r="13" spans="1:6" ht="14.5" x14ac:dyDescent="0.35">
      <c r="A13">
        <v>2712</v>
      </c>
      <c r="B13">
        <v>61</v>
      </c>
    </row>
    <row r="14" spans="1:6" ht="14.5" x14ac:dyDescent="0.35">
      <c r="A14">
        <v>2885</v>
      </c>
      <c r="B14">
        <v>92</v>
      </c>
    </row>
    <row r="15" spans="1:6" ht="14.5" x14ac:dyDescent="0.35">
      <c r="A15">
        <v>2267</v>
      </c>
      <c r="B15">
        <v>42</v>
      </c>
    </row>
    <row r="16" spans="1:6" ht="14.5" x14ac:dyDescent="0.35">
      <c r="A16">
        <v>2333</v>
      </c>
      <c r="B16">
        <v>17</v>
      </c>
    </row>
    <row r="17" spans="1:2" ht="14.5" x14ac:dyDescent="0.35">
      <c r="A17">
        <v>3490</v>
      </c>
      <c r="B17">
        <v>62</v>
      </c>
    </row>
    <row r="18" spans="1:2" ht="14.5" x14ac:dyDescent="0.35">
      <c r="A18">
        <v>3264</v>
      </c>
      <c r="B18">
        <v>18</v>
      </c>
    </row>
    <row r="19" spans="1:2" ht="14.5" x14ac:dyDescent="0.35">
      <c r="A19">
        <v>4813</v>
      </c>
      <c r="B19">
        <v>64</v>
      </c>
    </row>
    <row r="20" spans="1:2" ht="14.5" x14ac:dyDescent="0.35">
      <c r="A20">
        <v>2804</v>
      </c>
      <c r="B20">
        <v>36</v>
      </c>
    </row>
    <row r="21" spans="1:2" ht="14.5" x14ac:dyDescent="0.35">
      <c r="A21">
        <v>2239</v>
      </c>
      <c r="B21">
        <v>14</v>
      </c>
    </row>
    <row r="22" spans="1:2" ht="14.5" x14ac:dyDescent="0.35">
      <c r="A22">
        <v>1581</v>
      </c>
      <c r="B22">
        <v>72</v>
      </c>
    </row>
    <row r="23" spans="1:2" ht="14.5" x14ac:dyDescent="0.35">
      <c r="A23">
        <v>760</v>
      </c>
      <c r="B23">
        <v>69</v>
      </c>
    </row>
    <row r="24" spans="1:2" ht="14.5" x14ac:dyDescent="0.35">
      <c r="A24">
        <v>2238</v>
      </c>
      <c r="B24">
        <v>79</v>
      </c>
    </row>
    <row r="25" spans="1:2" ht="14.5" x14ac:dyDescent="0.35">
      <c r="A25">
        <v>1760</v>
      </c>
      <c r="B25">
        <v>11</v>
      </c>
    </row>
    <row r="26" spans="1:2" ht="14.5" x14ac:dyDescent="0.35">
      <c r="A26">
        <v>4103</v>
      </c>
      <c r="B26">
        <v>30</v>
      </c>
    </row>
    <row r="27" spans="1:2" ht="14.5" x14ac:dyDescent="0.35">
      <c r="A27">
        <v>4470</v>
      </c>
      <c r="B27">
        <v>54</v>
      </c>
    </row>
    <row r="28" spans="1:2" ht="14.5" x14ac:dyDescent="0.35">
      <c r="A28">
        <v>2515</v>
      </c>
      <c r="B28">
        <v>94</v>
      </c>
    </row>
    <row r="29" spans="1:2" ht="14.5" x14ac:dyDescent="0.35">
      <c r="A29">
        <v>3852</v>
      </c>
      <c r="B29">
        <v>12</v>
      </c>
    </row>
    <row r="30" spans="1:2" ht="14.5" x14ac:dyDescent="0.35">
      <c r="A30">
        <v>4773</v>
      </c>
      <c r="B30">
        <v>56</v>
      </c>
    </row>
    <row r="31" spans="1:2" ht="14.5" x14ac:dyDescent="0.35">
      <c r="A31">
        <v>3571</v>
      </c>
      <c r="B31">
        <v>90</v>
      </c>
    </row>
    <row r="32" spans="1:2" ht="14.5" x14ac:dyDescent="0.35">
      <c r="A32">
        <v>2030</v>
      </c>
      <c r="B32">
        <v>18</v>
      </c>
    </row>
    <row r="33" spans="1:2" ht="14.5" x14ac:dyDescent="0.35">
      <c r="A33">
        <v>811</v>
      </c>
      <c r="B33">
        <v>94</v>
      </c>
    </row>
    <row r="34" spans="1:2" ht="14.5" x14ac:dyDescent="0.35">
      <c r="A34">
        <v>1727</v>
      </c>
      <c r="B34">
        <v>20</v>
      </c>
    </row>
    <row r="35" spans="1:2" ht="14.5" x14ac:dyDescent="0.35">
      <c r="A35">
        <v>4481</v>
      </c>
      <c r="B35">
        <v>32</v>
      </c>
    </row>
    <row r="36" spans="1:2" ht="14.5" x14ac:dyDescent="0.35">
      <c r="A36">
        <v>4287</v>
      </c>
      <c r="B36">
        <v>66</v>
      </c>
    </row>
    <row r="37" spans="1:2" ht="14.5" x14ac:dyDescent="0.35">
      <c r="A37">
        <v>3560</v>
      </c>
      <c r="B37">
        <v>42</v>
      </c>
    </row>
    <row r="38" spans="1:2" ht="14.5" x14ac:dyDescent="0.35">
      <c r="A38">
        <v>3449</v>
      </c>
      <c r="B38">
        <v>42</v>
      </c>
    </row>
    <row r="39" spans="1:2" ht="14.5" x14ac:dyDescent="0.35">
      <c r="A39">
        <v>4324</v>
      </c>
      <c r="B39">
        <v>26</v>
      </c>
    </row>
    <row r="40" spans="1:2" ht="14.5" x14ac:dyDescent="0.35">
      <c r="A40">
        <v>2245</v>
      </c>
      <c r="B40">
        <v>13</v>
      </c>
    </row>
    <row r="41" spans="1:2" ht="14.5" x14ac:dyDescent="0.35">
      <c r="A41">
        <v>603</v>
      </c>
      <c r="B41">
        <v>20</v>
      </c>
    </row>
    <row r="42" spans="1:2" ht="14.5" x14ac:dyDescent="0.35">
      <c r="A42">
        <v>3981</v>
      </c>
      <c r="B42">
        <v>63</v>
      </c>
    </row>
    <row r="43" spans="1:2" ht="14.5" x14ac:dyDescent="0.35">
      <c r="A43">
        <v>1119</v>
      </c>
      <c r="B43">
        <v>40</v>
      </c>
    </row>
    <row r="44" spans="1:2" ht="14.5" x14ac:dyDescent="0.35">
      <c r="A44">
        <v>3076</v>
      </c>
      <c r="B44">
        <v>79</v>
      </c>
    </row>
    <row r="45" spans="1:2" ht="14.5" x14ac:dyDescent="0.35">
      <c r="A45">
        <v>3958</v>
      </c>
      <c r="B45">
        <v>94</v>
      </c>
    </row>
    <row r="46" spans="1:2" ht="14.5" x14ac:dyDescent="0.35">
      <c r="A46">
        <v>1578</v>
      </c>
      <c r="B46">
        <v>48</v>
      </c>
    </row>
    <row r="47" spans="1:2" ht="14.5" x14ac:dyDescent="0.35">
      <c r="A47">
        <v>4570</v>
      </c>
      <c r="B47">
        <v>6</v>
      </c>
    </row>
    <row r="48" spans="1:2" ht="14.5" x14ac:dyDescent="0.35">
      <c r="A48">
        <v>718</v>
      </c>
      <c r="B48">
        <v>14</v>
      </c>
    </row>
    <row r="49" spans="1:2" ht="14.5" x14ac:dyDescent="0.35">
      <c r="A49">
        <v>4601</v>
      </c>
      <c r="B49">
        <v>28</v>
      </c>
    </row>
    <row r="50" spans="1:2" ht="14.5" x14ac:dyDescent="0.35">
      <c r="A50">
        <v>4775</v>
      </c>
      <c r="B50">
        <v>87</v>
      </c>
    </row>
    <row r="51" spans="1:2" ht="14.5" x14ac:dyDescent="0.35">
      <c r="A51">
        <v>4340</v>
      </c>
      <c r="B51">
        <v>70</v>
      </c>
    </row>
    <row r="52" spans="1:2" ht="14.5" x14ac:dyDescent="0.35">
      <c r="A52">
        <v>4327</v>
      </c>
      <c r="B52">
        <v>86</v>
      </c>
    </row>
    <row r="53" spans="1:2" ht="14.5" x14ac:dyDescent="0.35">
      <c r="A53">
        <v>1695</v>
      </c>
      <c r="B53">
        <v>61</v>
      </c>
    </row>
    <row r="54" spans="1:2" ht="14.5" x14ac:dyDescent="0.35">
      <c r="A54">
        <v>995</v>
      </c>
      <c r="B54">
        <v>25</v>
      </c>
    </row>
    <row r="55" spans="1:2" ht="14.5" x14ac:dyDescent="0.35">
      <c r="A55">
        <v>3101</v>
      </c>
      <c r="B55">
        <v>36</v>
      </c>
    </row>
    <row r="56" spans="1:2" ht="14.5" x14ac:dyDescent="0.35">
      <c r="A56">
        <v>1992</v>
      </c>
      <c r="B56">
        <v>93</v>
      </c>
    </row>
    <row r="57" spans="1:2" ht="14.5" x14ac:dyDescent="0.35">
      <c r="A57">
        <v>2506</v>
      </c>
      <c r="B57">
        <v>94</v>
      </c>
    </row>
    <row r="58" spans="1:2" ht="14.5" x14ac:dyDescent="0.35">
      <c r="A58">
        <v>2556</v>
      </c>
      <c r="B58">
        <v>91</v>
      </c>
    </row>
    <row r="59" spans="1:2" ht="14.5" x14ac:dyDescent="0.35">
      <c r="A59">
        <v>4390</v>
      </c>
      <c r="B59">
        <v>51</v>
      </c>
    </row>
    <row r="60" spans="1:2" ht="14.5" x14ac:dyDescent="0.35">
      <c r="A60">
        <v>4401</v>
      </c>
      <c r="B60">
        <v>45</v>
      </c>
    </row>
    <row r="61" spans="1:2" ht="14.5" x14ac:dyDescent="0.35">
      <c r="A61">
        <v>1275</v>
      </c>
      <c r="B61">
        <v>100</v>
      </c>
    </row>
    <row r="62" spans="1:2" ht="14.5" x14ac:dyDescent="0.35">
      <c r="A62">
        <v>3630</v>
      </c>
      <c r="B62">
        <v>24</v>
      </c>
    </row>
    <row r="63" spans="1:2" ht="14.5" x14ac:dyDescent="0.35">
      <c r="A63">
        <v>2654</v>
      </c>
      <c r="B63">
        <v>73</v>
      </c>
    </row>
    <row r="64" spans="1:2" ht="14.5" x14ac:dyDescent="0.35">
      <c r="A64">
        <v>1810</v>
      </c>
      <c r="B64">
        <v>54</v>
      </c>
    </row>
    <row r="65" spans="1:2" ht="14.5" x14ac:dyDescent="0.35">
      <c r="A65">
        <v>2208</v>
      </c>
      <c r="B65">
        <v>72</v>
      </c>
    </row>
    <row r="66" spans="1:2" ht="14.5" x14ac:dyDescent="0.35">
      <c r="A66">
        <v>2133</v>
      </c>
      <c r="B66">
        <v>50</v>
      </c>
    </row>
    <row r="67" spans="1:2" ht="14.5" x14ac:dyDescent="0.35">
      <c r="A67">
        <v>2183</v>
      </c>
      <c r="B67">
        <v>27</v>
      </c>
    </row>
    <row r="68" spans="1:2" ht="14.5" x14ac:dyDescent="0.35">
      <c r="A68">
        <v>1924</v>
      </c>
      <c r="B68">
        <v>33</v>
      </c>
    </row>
    <row r="69" spans="1:2" ht="14.5" x14ac:dyDescent="0.35">
      <c r="A69">
        <v>4624</v>
      </c>
      <c r="B69">
        <v>50</v>
      </c>
    </row>
    <row r="70" spans="1:2" ht="14.5" x14ac:dyDescent="0.35">
      <c r="A70">
        <v>1825</v>
      </c>
      <c r="B70">
        <v>80</v>
      </c>
    </row>
    <row r="71" spans="1:2" ht="14.5" x14ac:dyDescent="0.35">
      <c r="A71">
        <v>1069</v>
      </c>
      <c r="B71">
        <v>11</v>
      </c>
    </row>
    <row r="72" spans="1:2" ht="14.5" x14ac:dyDescent="0.35">
      <c r="A72">
        <v>2283</v>
      </c>
      <c r="B72">
        <v>82</v>
      </c>
    </row>
    <row r="73" spans="1:2" ht="14.5" x14ac:dyDescent="0.35">
      <c r="A73">
        <v>4784</v>
      </c>
      <c r="B73">
        <v>73</v>
      </c>
    </row>
    <row r="74" spans="1:2" ht="14.5" x14ac:dyDescent="0.35">
      <c r="A74">
        <v>2861</v>
      </c>
      <c r="B74">
        <v>71</v>
      </c>
    </row>
    <row r="75" spans="1:2" ht="14.5" x14ac:dyDescent="0.35">
      <c r="A75">
        <v>3616</v>
      </c>
      <c r="B75">
        <v>67</v>
      </c>
    </row>
    <row r="76" spans="1:2" ht="14.5" x14ac:dyDescent="0.35">
      <c r="A76">
        <v>4452</v>
      </c>
      <c r="B76">
        <v>82</v>
      </c>
    </row>
    <row r="77" spans="1:2" ht="14.5" x14ac:dyDescent="0.35">
      <c r="A77">
        <v>1078</v>
      </c>
      <c r="B77">
        <v>5</v>
      </c>
    </row>
    <row r="78" spans="1:2" ht="14.5" x14ac:dyDescent="0.35">
      <c r="A78">
        <v>1286</v>
      </c>
      <c r="B78">
        <v>60</v>
      </c>
    </row>
    <row r="79" spans="1:2" ht="14.5" x14ac:dyDescent="0.35">
      <c r="A79">
        <v>1574</v>
      </c>
      <c r="B79">
        <v>50</v>
      </c>
    </row>
    <row r="80" spans="1:2" ht="14.5" x14ac:dyDescent="0.35">
      <c r="A80">
        <v>1076</v>
      </c>
      <c r="B80">
        <v>17</v>
      </c>
    </row>
    <row r="81" spans="1:2" ht="14.5" x14ac:dyDescent="0.35">
      <c r="A81">
        <v>3305</v>
      </c>
      <c r="B81">
        <v>81</v>
      </c>
    </row>
    <row r="82" spans="1:2" ht="14.5" x14ac:dyDescent="0.35">
      <c r="A82">
        <v>912</v>
      </c>
      <c r="B82">
        <v>20</v>
      </c>
    </row>
    <row r="83" spans="1:2" ht="14.5" x14ac:dyDescent="0.35">
      <c r="A83">
        <v>1516</v>
      </c>
      <c r="B83">
        <v>37</v>
      </c>
    </row>
    <row r="84" spans="1:2" ht="14.5" x14ac:dyDescent="0.35">
      <c r="A84">
        <v>1012</v>
      </c>
      <c r="B84">
        <v>35</v>
      </c>
    </row>
    <row r="85" spans="1:2" ht="14.5" x14ac:dyDescent="0.35">
      <c r="A85">
        <v>3230</v>
      </c>
      <c r="B85">
        <v>91</v>
      </c>
    </row>
    <row r="86" spans="1:2" ht="14.5" x14ac:dyDescent="0.35">
      <c r="A86">
        <v>2503</v>
      </c>
      <c r="B86">
        <v>62</v>
      </c>
    </row>
    <row r="87" spans="1:2" ht="14.5" x14ac:dyDescent="0.35">
      <c r="A87">
        <v>4946</v>
      </c>
      <c r="B87">
        <v>66</v>
      </c>
    </row>
    <row r="88" spans="1:2" ht="14.5" x14ac:dyDescent="0.35">
      <c r="A88">
        <v>4606</v>
      </c>
      <c r="B88">
        <v>90</v>
      </c>
    </row>
    <row r="89" spans="1:2" ht="14.5" x14ac:dyDescent="0.35">
      <c r="A89">
        <v>1771</v>
      </c>
      <c r="B89">
        <v>33</v>
      </c>
    </row>
    <row r="90" spans="1:2" ht="14.5" x14ac:dyDescent="0.35">
      <c r="A90">
        <v>2676</v>
      </c>
      <c r="B90">
        <v>82</v>
      </c>
    </row>
    <row r="91" spans="1:2" ht="14.5" x14ac:dyDescent="0.35">
      <c r="A91">
        <v>962</v>
      </c>
      <c r="B91">
        <v>21</v>
      </c>
    </row>
    <row r="92" spans="1:2" ht="14.5" x14ac:dyDescent="0.35">
      <c r="A92">
        <v>1925</v>
      </c>
      <c r="B92">
        <v>52</v>
      </c>
    </row>
    <row r="93" spans="1:2" ht="14.5" x14ac:dyDescent="0.35">
      <c r="A93">
        <v>2919</v>
      </c>
      <c r="B93">
        <v>99</v>
      </c>
    </row>
    <row r="94" spans="1:2" ht="14.5" x14ac:dyDescent="0.35">
      <c r="A94">
        <v>4595</v>
      </c>
      <c r="B94">
        <v>54</v>
      </c>
    </row>
    <row r="95" spans="1:2" ht="14.5" x14ac:dyDescent="0.35">
      <c r="A95">
        <v>797</v>
      </c>
      <c r="B95">
        <v>27</v>
      </c>
    </row>
    <row r="96" spans="1:2" ht="14.5" x14ac:dyDescent="0.35">
      <c r="A96">
        <v>4895</v>
      </c>
      <c r="B96">
        <v>10</v>
      </c>
    </row>
    <row r="97" spans="1:2" ht="14.5" x14ac:dyDescent="0.35">
      <c r="A97">
        <v>4179</v>
      </c>
      <c r="B97">
        <v>69</v>
      </c>
    </row>
    <row r="98" spans="1:2" ht="14.5" x14ac:dyDescent="0.35">
      <c r="A98">
        <v>2119</v>
      </c>
      <c r="B98">
        <v>59</v>
      </c>
    </row>
    <row r="99" spans="1:2" ht="14.5" x14ac:dyDescent="0.35">
      <c r="A99">
        <v>3810</v>
      </c>
      <c r="B99">
        <v>96</v>
      </c>
    </row>
    <row r="100" spans="1:2" ht="14.5" x14ac:dyDescent="0.35">
      <c r="A100">
        <v>1896</v>
      </c>
      <c r="B100">
        <v>14</v>
      </c>
    </row>
    <row r="101" spans="1:2" ht="14.5" x14ac:dyDescent="0.35">
      <c r="A101">
        <v>4473</v>
      </c>
      <c r="B101">
        <v>58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1"/>
  <sheetViews>
    <sheetView zoomScaleNormal="100" workbookViewId="0"/>
  </sheetViews>
  <sheetFormatPr defaultColWidth="8.6328125" defaultRowHeight="14.25" customHeight="1" x14ac:dyDescent="0.35"/>
  <cols>
    <col min="1" max="1" width="21.81640625" customWidth="1"/>
    <col min="2" max="2" width="19.90625" customWidth="1"/>
    <col min="4" max="4" width="22.26953125" customWidth="1"/>
    <col min="5" max="5" width="12.453125" customWidth="1"/>
    <col min="6" max="6" width="20.453125" customWidth="1"/>
    <col min="7" max="7" width="12.453125" customWidth="1"/>
  </cols>
  <sheetData>
    <row r="1" spans="1:7" ht="15" customHeight="1" x14ac:dyDescent="0.35">
      <c r="A1" t="s">
        <v>66</v>
      </c>
      <c r="B1" t="s">
        <v>74</v>
      </c>
    </row>
    <row r="2" spans="1:7" ht="14.5" x14ac:dyDescent="0.35">
      <c r="A2">
        <v>2829</v>
      </c>
      <c r="B2">
        <v>39</v>
      </c>
      <c r="D2" s="23" t="s">
        <v>66</v>
      </c>
      <c r="E2" s="23"/>
      <c r="F2" s="23" t="s">
        <v>74</v>
      </c>
      <c r="G2" s="23"/>
    </row>
    <row r="3" spans="1:7" ht="14.5" x14ac:dyDescent="0.35">
      <c r="A3">
        <v>3589</v>
      </c>
      <c r="B3">
        <v>60</v>
      </c>
    </row>
    <row r="4" spans="1:7" ht="14.5" x14ac:dyDescent="0.35">
      <c r="A4">
        <v>2438</v>
      </c>
      <c r="B4">
        <v>97</v>
      </c>
      <c r="D4" t="s">
        <v>23</v>
      </c>
      <c r="E4">
        <v>2784.52</v>
      </c>
      <c r="F4" t="s">
        <v>23</v>
      </c>
      <c r="G4">
        <v>52.7</v>
      </c>
    </row>
    <row r="5" spans="1:7" ht="14.5" x14ac:dyDescent="0.35">
      <c r="A5">
        <v>2646</v>
      </c>
      <c r="B5">
        <v>97</v>
      </c>
      <c r="D5" t="s">
        <v>50</v>
      </c>
      <c r="E5">
        <v>128.18630734169301</v>
      </c>
      <c r="F5" t="s">
        <v>50</v>
      </c>
      <c r="G5">
        <v>2.8311221318149702</v>
      </c>
    </row>
    <row r="6" spans="1:7" ht="14.5" x14ac:dyDescent="0.35">
      <c r="A6">
        <v>2680</v>
      </c>
      <c r="B6">
        <v>46</v>
      </c>
      <c r="D6" t="s">
        <v>24</v>
      </c>
      <c r="E6">
        <v>2650</v>
      </c>
      <c r="F6" t="s">
        <v>24</v>
      </c>
      <c r="G6">
        <v>54</v>
      </c>
    </row>
    <row r="7" spans="1:7" ht="14.5" x14ac:dyDescent="0.35">
      <c r="A7">
        <v>818</v>
      </c>
      <c r="B7">
        <v>30</v>
      </c>
      <c r="D7" t="s">
        <v>79</v>
      </c>
      <c r="E7" t="e">
        <f>#N/A</f>
        <v>#N/A</v>
      </c>
      <c r="F7" t="s">
        <v>79</v>
      </c>
      <c r="G7">
        <v>94</v>
      </c>
    </row>
    <row r="8" spans="1:7" ht="14.5" x14ac:dyDescent="0.35">
      <c r="A8">
        <v>1199</v>
      </c>
      <c r="B8">
        <v>11</v>
      </c>
      <c r="D8" t="s">
        <v>80</v>
      </c>
      <c r="E8">
        <v>1281.8630734169301</v>
      </c>
      <c r="F8" t="s">
        <v>80</v>
      </c>
      <c r="G8">
        <v>28.311221318149698</v>
      </c>
    </row>
    <row r="9" spans="1:7" ht="14.5" x14ac:dyDescent="0.35">
      <c r="A9">
        <v>4092</v>
      </c>
      <c r="B9">
        <v>69</v>
      </c>
      <c r="D9" t="s">
        <v>81</v>
      </c>
      <c r="E9">
        <v>1643172.9389899001</v>
      </c>
      <c r="F9" t="s">
        <v>81</v>
      </c>
      <c r="G9">
        <v>801.52525252525299</v>
      </c>
    </row>
    <row r="10" spans="1:7" ht="14.5" x14ac:dyDescent="0.35">
      <c r="A10">
        <v>4156</v>
      </c>
      <c r="B10">
        <v>95</v>
      </c>
      <c r="D10" t="s">
        <v>82</v>
      </c>
      <c r="E10">
        <v>-1.2286819271457501</v>
      </c>
      <c r="F10" t="s">
        <v>82</v>
      </c>
      <c r="G10">
        <v>-1.24593055175409</v>
      </c>
    </row>
    <row r="11" spans="1:7" ht="14.5" x14ac:dyDescent="0.35">
      <c r="A11">
        <v>2490</v>
      </c>
      <c r="B11">
        <v>22</v>
      </c>
      <c r="D11" t="s">
        <v>83</v>
      </c>
      <c r="E11">
        <v>8.2540369537326796E-2</v>
      </c>
      <c r="F11" t="s">
        <v>83</v>
      </c>
      <c r="G11">
        <v>2.06171598835562E-2</v>
      </c>
    </row>
    <row r="12" spans="1:7" ht="14.5" x14ac:dyDescent="0.35">
      <c r="A12">
        <v>1497</v>
      </c>
      <c r="B12">
        <v>10</v>
      </c>
      <c r="D12" t="s">
        <v>32</v>
      </c>
      <c r="E12">
        <v>4343</v>
      </c>
      <c r="F12" t="s">
        <v>32</v>
      </c>
      <c r="G12">
        <v>95</v>
      </c>
    </row>
    <row r="13" spans="1:7" ht="14.5" x14ac:dyDescent="0.35">
      <c r="A13">
        <v>2712</v>
      </c>
      <c r="B13">
        <v>61</v>
      </c>
      <c r="D13" t="s">
        <v>28</v>
      </c>
      <c r="E13">
        <v>603</v>
      </c>
      <c r="F13" t="s">
        <v>28</v>
      </c>
      <c r="G13">
        <v>5</v>
      </c>
    </row>
    <row r="14" spans="1:7" ht="14.5" x14ac:dyDescent="0.35">
      <c r="A14">
        <v>2885</v>
      </c>
      <c r="B14">
        <v>92</v>
      </c>
      <c r="D14" t="s">
        <v>30</v>
      </c>
      <c r="E14">
        <v>4946</v>
      </c>
      <c r="F14" t="s">
        <v>30</v>
      </c>
      <c r="G14">
        <v>100</v>
      </c>
    </row>
    <row r="15" spans="1:7" ht="14.5" x14ac:dyDescent="0.35">
      <c r="A15">
        <v>2267</v>
      </c>
      <c r="B15">
        <v>42</v>
      </c>
      <c r="D15" t="s">
        <v>84</v>
      </c>
      <c r="E15">
        <v>278452</v>
      </c>
      <c r="F15" t="s">
        <v>84</v>
      </c>
      <c r="G15">
        <v>5270</v>
      </c>
    </row>
    <row r="16" spans="1:7" ht="15" customHeight="1" x14ac:dyDescent="0.35">
      <c r="A16">
        <v>2333</v>
      </c>
      <c r="B16">
        <v>17</v>
      </c>
      <c r="D16" s="24" t="s">
        <v>35</v>
      </c>
      <c r="E16" s="24">
        <v>100</v>
      </c>
      <c r="F16" s="24" t="s">
        <v>35</v>
      </c>
      <c r="G16" s="24">
        <v>100</v>
      </c>
    </row>
    <row r="17" spans="1:2" ht="14.5" x14ac:dyDescent="0.35">
      <c r="A17">
        <v>3490</v>
      </c>
      <c r="B17">
        <v>62</v>
      </c>
    </row>
    <row r="18" spans="1:2" ht="14.5" x14ac:dyDescent="0.35">
      <c r="A18">
        <v>3264</v>
      </c>
      <c r="B18">
        <v>18</v>
      </c>
    </row>
    <row r="19" spans="1:2" ht="14.5" x14ac:dyDescent="0.35">
      <c r="A19">
        <v>4813</v>
      </c>
      <c r="B19">
        <v>64</v>
      </c>
    </row>
    <row r="20" spans="1:2" ht="14.5" x14ac:dyDescent="0.35">
      <c r="A20">
        <v>2804</v>
      </c>
      <c r="B20">
        <v>36</v>
      </c>
    </row>
    <row r="21" spans="1:2" ht="14.5" x14ac:dyDescent="0.35">
      <c r="A21">
        <v>2239</v>
      </c>
      <c r="B21">
        <v>14</v>
      </c>
    </row>
    <row r="22" spans="1:2" ht="14.5" x14ac:dyDescent="0.35">
      <c r="A22">
        <v>1581</v>
      </c>
      <c r="B22">
        <v>72</v>
      </c>
    </row>
    <row r="23" spans="1:2" ht="14.5" x14ac:dyDescent="0.35">
      <c r="A23">
        <v>760</v>
      </c>
      <c r="B23">
        <v>69</v>
      </c>
    </row>
    <row r="24" spans="1:2" ht="14.5" x14ac:dyDescent="0.35">
      <c r="A24">
        <v>2238</v>
      </c>
      <c r="B24">
        <v>79</v>
      </c>
    </row>
    <row r="25" spans="1:2" ht="14.5" x14ac:dyDescent="0.35">
      <c r="A25">
        <v>1760</v>
      </c>
      <c r="B25">
        <v>11</v>
      </c>
    </row>
    <row r="26" spans="1:2" ht="14.5" x14ac:dyDescent="0.35">
      <c r="A26">
        <v>4103</v>
      </c>
      <c r="B26">
        <v>30</v>
      </c>
    </row>
    <row r="27" spans="1:2" ht="14.5" x14ac:dyDescent="0.35">
      <c r="A27">
        <v>4470</v>
      </c>
      <c r="B27">
        <v>54</v>
      </c>
    </row>
    <row r="28" spans="1:2" ht="14.5" x14ac:dyDescent="0.35">
      <c r="A28">
        <v>2515</v>
      </c>
      <c r="B28">
        <v>94</v>
      </c>
    </row>
    <row r="29" spans="1:2" ht="14.5" x14ac:dyDescent="0.35">
      <c r="A29">
        <v>3852</v>
      </c>
      <c r="B29">
        <v>12</v>
      </c>
    </row>
    <row r="30" spans="1:2" ht="14.5" x14ac:dyDescent="0.35">
      <c r="A30">
        <v>4773</v>
      </c>
      <c r="B30">
        <v>56</v>
      </c>
    </row>
    <row r="31" spans="1:2" ht="14.5" x14ac:dyDescent="0.35">
      <c r="A31">
        <v>3571</v>
      </c>
      <c r="B31">
        <v>90</v>
      </c>
    </row>
    <row r="32" spans="1:2" ht="14.5" x14ac:dyDescent="0.35">
      <c r="A32">
        <v>2030</v>
      </c>
      <c r="B32">
        <v>18</v>
      </c>
    </row>
    <row r="33" spans="1:2" ht="14.5" x14ac:dyDescent="0.35">
      <c r="A33">
        <v>811</v>
      </c>
      <c r="B33">
        <v>94</v>
      </c>
    </row>
    <row r="34" spans="1:2" ht="14.5" x14ac:dyDescent="0.35">
      <c r="A34">
        <v>1727</v>
      </c>
      <c r="B34">
        <v>20</v>
      </c>
    </row>
    <row r="35" spans="1:2" ht="14.5" x14ac:dyDescent="0.35">
      <c r="A35">
        <v>4481</v>
      </c>
      <c r="B35">
        <v>32</v>
      </c>
    </row>
    <row r="36" spans="1:2" ht="14.5" x14ac:dyDescent="0.35">
      <c r="A36">
        <v>4287</v>
      </c>
      <c r="B36">
        <v>66</v>
      </c>
    </row>
    <row r="37" spans="1:2" ht="14.5" x14ac:dyDescent="0.35">
      <c r="A37">
        <v>3560</v>
      </c>
      <c r="B37">
        <v>42</v>
      </c>
    </row>
    <row r="38" spans="1:2" ht="14.5" x14ac:dyDescent="0.35">
      <c r="A38">
        <v>3449</v>
      </c>
      <c r="B38">
        <v>42</v>
      </c>
    </row>
    <row r="39" spans="1:2" ht="14.5" x14ac:dyDescent="0.35">
      <c r="A39">
        <v>4324</v>
      </c>
      <c r="B39">
        <v>26</v>
      </c>
    </row>
    <row r="40" spans="1:2" ht="14.5" x14ac:dyDescent="0.35">
      <c r="A40">
        <v>2245</v>
      </c>
      <c r="B40">
        <v>13</v>
      </c>
    </row>
    <row r="41" spans="1:2" ht="14.5" x14ac:dyDescent="0.35">
      <c r="A41">
        <v>603</v>
      </c>
      <c r="B41">
        <v>20</v>
      </c>
    </row>
    <row r="42" spans="1:2" ht="14.5" x14ac:dyDescent="0.35">
      <c r="A42">
        <v>3981</v>
      </c>
      <c r="B42">
        <v>63</v>
      </c>
    </row>
    <row r="43" spans="1:2" ht="14.5" x14ac:dyDescent="0.35">
      <c r="A43">
        <v>1119</v>
      </c>
      <c r="B43">
        <v>40</v>
      </c>
    </row>
    <row r="44" spans="1:2" ht="14.5" x14ac:dyDescent="0.35">
      <c r="A44">
        <v>3076</v>
      </c>
      <c r="B44">
        <v>79</v>
      </c>
    </row>
    <row r="45" spans="1:2" ht="14.5" x14ac:dyDescent="0.35">
      <c r="A45">
        <v>3958</v>
      </c>
      <c r="B45">
        <v>94</v>
      </c>
    </row>
    <row r="46" spans="1:2" ht="14.5" x14ac:dyDescent="0.35">
      <c r="A46">
        <v>1578</v>
      </c>
      <c r="B46">
        <v>48</v>
      </c>
    </row>
    <row r="47" spans="1:2" ht="14.5" x14ac:dyDescent="0.35">
      <c r="A47">
        <v>4570</v>
      </c>
      <c r="B47">
        <v>6</v>
      </c>
    </row>
    <row r="48" spans="1:2" ht="14.5" x14ac:dyDescent="0.35">
      <c r="A48">
        <v>718</v>
      </c>
      <c r="B48">
        <v>14</v>
      </c>
    </row>
    <row r="49" spans="1:2" ht="14.5" x14ac:dyDescent="0.35">
      <c r="A49">
        <v>4601</v>
      </c>
      <c r="B49">
        <v>28</v>
      </c>
    </row>
    <row r="50" spans="1:2" ht="14.5" x14ac:dyDescent="0.35">
      <c r="A50">
        <v>4775</v>
      </c>
      <c r="B50">
        <v>87</v>
      </c>
    </row>
    <row r="51" spans="1:2" ht="14.5" x14ac:dyDescent="0.35">
      <c r="A51">
        <v>4340</v>
      </c>
      <c r="B51">
        <v>70</v>
      </c>
    </row>
    <row r="52" spans="1:2" ht="14.5" x14ac:dyDescent="0.35">
      <c r="A52">
        <v>4327</v>
      </c>
      <c r="B52">
        <v>86</v>
      </c>
    </row>
    <row r="53" spans="1:2" ht="14.5" x14ac:dyDescent="0.35">
      <c r="A53">
        <v>1695</v>
      </c>
      <c r="B53">
        <v>61</v>
      </c>
    </row>
    <row r="54" spans="1:2" ht="14.5" x14ac:dyDescent="0.35">
      <c r="A54">
        <v>995</v>
      </c>
      <c r="B54">
        <v>25</v>
      </c>
    </row>
    <row r="55" spans="1:2" ht="14.5" x14ac:dyDescent="0.35">
      <c r="A55">
        <v>3101</v>
      </c>
      <c r="B55">
        <v>36</v>
      </c>
    </row>
    <row r="56" spans="1:2" ht="14.5" x14ac:dyDescent="0.35">
      <c r="A56">
        <v>1992</v>
      </c>
      <c r="B56">
        <v>93</v>
      </c>
    </row>
    <row r="57" spans="1:2" ht="14.5" x14ac:dyDescent="0.35">
      <c r="A57">
        <v>2506</v>
      </c>
      <c r="B57">
        <v>94</v>
      </c>
    </row>
    <row r="58" spans="1:2" ht="14.5" x14ac:dyDescent="0.35">
      <c r="A58">
        <v>2556</v>
      </c>
      <c r="B58">
        <v>91</v>
      </c>
    </row>
    <row r="59" spans="1:2" ht="14.5" x14ac:dyDescent="0.35">
      <c r="A59">
        <v>4390</v>
      </c>
      <c r="B59">
        <v>51</v>
      </c>
    </row>
    <row r="60" spans="1:2" ht="14.5" x14ac:dyDescent="0.35">
      <c r="A60">
        <v>4401</v>
      </c>
      <c r="B60">
        <v>45</v>
      </c>
    </row>
    <row r="61" spans="1:2" ht="14.5" x14ac:dyDescent="0.35">
      <c r="A61">
        <v>1275</v>
      </c>
      <c r="B61">
        <v>100</v>
      </c>
    </row>
    <row r="62" spans="1:2" ht="14.5" x14ac:dyDescent="0.35">
      <c r="A62">
        <v>3630</v>
      </c>
      <c r="B62">
        <v>24</v>
      </c>
    </row>
    <row r="63" spans="1:2" ht="14.5" x14ac:dyDescent="0.35">
      <c r="A63">
        <v>2654</v>
      </c>
      <c r="B63">
        <v>73</v>
      </c>
    </row>
    <row r="64" spans="1:2" ht="14.5" x14ac:dyDescent="0.35">
      <c r="A64">
        <v>1810</v>
      </c>
      <c r="B64">
        <v>54</v>
      </c>
    </row>
    <row r="65" spans="1:2" ht="14.5" x14ac:dyDescent="0.35">
      <c r="A65">
        <v>2208</v>
      </c>
      <c r="B65">
        <v>72</v>
      </c>
    </row>
    <row r="66" spans="1:2" ht="14.5" x14ac:dyDescent="0.35">
      <c r="A66">
        <v>2133</v>
      </c>
      <c r="B66">
        <v>50</v>
      </c>
    </row>
    <row r="67" spans="1:2" ht="14.5" x14ac:dyDescent="0.35">
      <c r="A67">
        <v>2183</v>
      </c>
      <c r="B67">
        <v>27</v>
      </c>
    </row>
    <row r="68" spans="1:2" ht="14.5" x14ac:dyDescent="0.35">
      <c r="A68">
        <v>1924</v>
      </c>
      <c r="B68">
        <v>33</v>
      </c>
    </row>
    <row r="69" spans="1:2" ht="14.5" x14ac:dyDescent="0.35">
      <c r="A69">
        <v>4624</v>
      </c>
      <c r="B69">
        <v>50</v>
      </c>
    </row>
    <row r="70" spans="1:2" ht="14.5" x14ac:dyDescent="0.35">
      <c r="A70">
        <v>1825</v>
      </c>
      <c r="B70">
        <v>80</v>
      </c>
    </row>
    <row r="71" spans="1:2" ht="14.5" x14ac:dyDescent="0.35">
      <c r="A71">
        <v>1069</v>
      </c>
      <c r="B71">
        <v>11</v>
      </c>
    </row>
    <row r="72" spans="1:2" ht="14.5" x14ac:dyDescent="0.35">
      <c r="A72">
        <v>2283</v>
      </c>
      <c r="B72">
        <v>82</v>
      </c>
    </row>
    <row r="73" spans="1:2" ht="14.5" x14ac:dyDescent="0.35">
      <c r="A73">
        <v>4784</v>
      </c>
      <c r="B73">
        <v>73</v>
      </c>
    </row>
    <row r="74" spans="1:2" ht="14.5" x14ac:dyDescent="0.35">
      <c r="A74">
        <v>2861</v>
      </c>
      <c r="B74">
        <v>71</v>
      </c>
    </row>
    <row r="75" spans="1:2" ht="14.5" x14ac:dyDescent="0.35">
      <c r="A75">
        <v>3616</v>
      </c>
      <c r="B75">
        <v>67</v>
      </c>
    </row>
    <row r="76" spans="1:2" ht="14.5" x14ac:dyDescent="0.35">
      <c r="A76">
        <v>4452</v>
      </c>
      <c r="B76">
        <v>82</v>
      </c>
    </row>
    <row r="77" spans="1:2" ht="14.5" x14ac:dyDescent="0.35">
      <c r="A77">
        <v>1078</v>
      </c>
      <c r="B77">
        <v>5</v>
      </c>
    </row>
    <row r="78" spans="1:2" ht="14.5" x14ac:dyDescent="0.35">
      <c r="A78">
        <v>1286</v>
      </c>
      <c r="B78">
        <v>60</v>
      </c>
    </row>
    <row r="79" spans="1:2" ht="14.5" x14ac:dyDescent="0.35">
      <c r="A79">
        <v>1574</v>
      </c>
      <c r="B79">
        <v>50</v>
      </c>
    </row>
    <row r="80" spans="1:2" ht="14.5" x14ac:dyDescent="0.35">
      <c r="A80">
        <v>1076</v>
      </c>
      <c r="B80">
        <v>17</v>
      </c>
    </row>
    <row r="81" spans="1:2" ht="14.5" x14ac:dyDescent="0.35">
      <c r="A81">
        <v>3305</v>
      </c>
      <c r="B81">
        <v>81</v>
      </c>
    </row>
    <row r="82" spans="1:2" ht="14.5" x14ac:dyDescent="0.35">
      <c r="A82">
        <v>912</v>
      </c>
      <c r="B82">
        <v>20</v>
      </c>
    </row>
    <row r="83" spans="1:2" ht="14.5" x14ac:dyDescent="0.35">
      <c r="A83">
        <v>1516</v>
      </c>
      <c r="B83">
        <v>37</v>
      </c>
    </row>
    <row r="84" spans="1:2" ht="14.5" x14ac:dyDescent="0.35">
      <c r="A84">
        <v>1012</v>
      </c>
      <c r="B84">
        <v>35</v>
      </c>
    </row>
    <row r="85" spans="1:2" ht="14.5" x14ac:dyDescent="0.35">
      <c r="A85">
        <v>3230</v>
      </c>
      <c r="B85">
        <v>91</v>
      </c>
    </row>
    <row r="86" spans="1:2" ht="14.5" x14ac:dyDescent="0.35">
      <c r="A86">
        <v>2503</v>
      </c>
      <c r="B86">
        <v>62</v>
      </c>
    </row>
    <row r="87" spans="1:2" ht="14.5" x14ac:dyDescent="0.35">
      <c r="A87">
        <v>4946</v>
      </c>
      <c r="B87">
        <v>66</v>
      </c>
    </row>
    <row r="88" spans="1:2" ht="14.5" x14ac:dyDescent="0.35">
      <c r="A88">
        <v>4606</v>
      </c>
      <c r="B88">
        <v>90</v>
      </c>
    </row>
    <row r="89" spans="1:2" ht="14.5" x14ac:dyDescent="0.35">
      <c r="A89">
        <v>1771</v>
      </c>
      <c r="B89">
        <v>33</v>
      </c>
    </row>
    <row r="90" spans="1:2" ht="14.5" x14ac:dyDescent="0.35">
      <c r="A90">
        <v>2676</v>
      </c>
      <c r="B90">
        <v>82</v>
      </c>
    </row>
    <row r="91" spans="1:2" ht="14.5" x14ac:dyDescent="0.35">
      <c r="A91">
        <v>962</v>
      </c>
      <c r="B91">
        <v>21</v>
      </c>
    </row>
    <row r="92" spans="1:2" ht="14.5" x14ac:dyDescent="0.35">
      <c r="A92">
        <v>1925</v>
      </c>
      <c r="B92">
        <v>52</v>
      </c>
    </row>
    <row r="93" spans="1:2" ht="14.5" x14ac:dyDescent="0.35">
      <c r="A93">
        <v>2919</v>
      </c>
      <c r="B93">
        <v>99</v>
      </c>
    </row>
    <row r="94" spans="1:2" ht="14.5" x14ac:dyDescent="0.35">
      <c r="A94">
        <v>4595</v>
      </c>
      <c r="B94">
        <v>54</v>
      </c>
    </row>
    <row r="95" spans="1:2" ht="14.5" x14ac:dyDescent="0.35">
      <c r="A95">
        <v>797</v>
      </c>
      <c r="B95">
        <v>27</v>
      </c>
    </row>
    <row r="96" spans="1:2" ht="14.5" x14ac:dyDescent="0.35">
      <c r="A96">
        <v>4895</v>
      </c>
      <c r="B96">
        <v>10</v>
      </c>
    </row>
    <row r="97" spans="1:2" ht="14.5" x14ac:dyDescent="0.35">
      <c r="A97">
        <v>4179</v>
      </c>
      <c r="B97">
        <v>69</v>
      </c>
    </row>
    <row r="98" spans="1:2" ht="14.5" x14ac:dyDescent="0.35">
      <c r="A98">
        <v>2119</v>
      </c>
      <c r="B98">
        <v>59</v>
      </c>
    </row>
    <row r="99" spans="1:2" ht="14.5" x14ac:dyDescent="0.35">
      <c r="A99">
        <v>3810</v>
      </c>
      <c r="B99">
        <v>96</v>
      </c>
    </row>
    <row r="100" spans="1:2" ht="14.5" x14ac:dyDescent="0.35">
      <c r="A100">
        <v>1896</v>
      </c>
      <c r="B100">
        <v>14</v>
      </c>
    </row>
    <row r="101" spans="1:2" ht="14.5" x14ac:dyDescent="0.35">
      <c r="A101">
        <v>4473</v>
      </c>
      <c r="B101">
        <v>58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1"/>
  <sheetViews>
    <sheetView zoomScaleNormal="100" workbookViewId="0">
      <selection activeCell="I90" sqref="I90"/>
    </sheetView>
  </sheetViews>
  <sheetFormatPr defaultColWidth="8.6328125" defaultRowHeight="14.25" customHeight="1" x14ac:dyDescent="0.35"/>
  <cols>
    <col min="2" max="2" width="11.81640625" customWidth="1"/>
    <col min="3" max="3" width="21.81640625" customWidth="1"/>
    <col min="4" max="4" width="14.6328125" customWidth="1"/>
    <col min="5" max="5" width="19.54296875" customWidth="1"/>
    <col min="6" max="6" width="19.90625" customWidth="1"/>
    <col min="7" max="7" width="15" customWidth="1"/>
    <col min="8" max="8" width="19.1796875" customWidth="1"/>
    <col min="9" max="9" width="17.90625" customWidth="1"/>
    <col min="10" max="10" width="17.26953125" customWidth="1"/>
    <col min="11" max="11" width="22.36328125" customWidth="1"/>
    <col min="12" max="12" width="21.81640625" customWidth="1"/>
  </cols>
  <sheetData>
    <row r="1" spans="1:12" x14ac:dyDescent="0.35">
      <c r="A1" t="s">
        <v>85</v>
      </c>
      <c r="B1" t="s">
        <v>86</v>
      </c>
      <c r="C1" t="s">
        <v>66</v>
      </c>
      <c r="D1" t="s">
        <v>87</v>
      </c>
      <c r="E1" t="s">
        <v>88</v>
      </c>
      <c r="F1" t="s">
        <v>74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5">
      <c r="A2">
        <v>2020</v>
      </c>
      <c r="B2" t="s">
        <v>95</v>
      </c>
      <c r="C2">
        <v>2829</v>
      </c>
      <c r="D2">
        <v>51</v>
      </c>
      <c r="E2">
        <v>123</v>
      </c>
      <c r="F2">
        <v>39</v>
      </c>
      <c r="G2" t="s">
        <v>96</v>
      </c>
      <c r="H2">
        <v>114.24</v>
      </c>
      <c r="I2" t="s">
        <v>97</v>
      </c>
      <c r="J2">
        <v>57</v>
      </c>
      <c r="K2">
        <v>5.8</v>
      </c>
      <c r="L2">
        <v>8.4</v>
      </c>
    </row>
    <row r="3" spans="1:12" x14ac:dyDescent="0.35">
      <c r="A3">
        <v>2022</v>
      </c>
      <c r="B3" t="s">
        <v>98</v>
      </c>
      <c r="C3">
        <v>3589</v>
      </c>
      <c r="D3">
        <v>185</v>
      </c>
      <c r="E3">
        <v>30</v>
      </c>
      <c r="F3">
        <v>60</v>
      </c>
      <c r="G3" t="s">
        <v>96</v>
      </c>
      <c r="H3">
        <v>156.97999999999999</v>
      </c>
      <c r="I3" t="s">
        <v>99</v>
      </c>
      <c r="J3">
        <v>58</v>
      </c>
      <c r="K3">
        <v>5.3</v>
      </c>
      <c r="L3">
        <v>6.7</v>
      </c>
    </row>
    <row r="4" spans="1:12" x14ac:dyDescent="0.35">
      <c r="A4">
        <v>2020</v>
      </c>
      <c r="B4" t="s">
        <v>95</v>
      </c>
      <c r="C4">
        <v>2438</v>
      </c>
      <c r="D4">
        <v>212</v>
      </c>
      <c r="E4">
        <v>124</v>
      </c>
      <c r="F4">
        <v>97</v>
      </c>
      <c r="G4" t="s">
        <v>96</v>
      </c>
      <c r="H4">
        <v>131.83000000000001</v>
      </c>
      <c r="I4" t="s">
        <v>97</v>
      </c>
      <c r="J4">
        <v>76</v>
      </c>
      <c r="K4">
        <v>6.1</v>
      </c>
      <c r="L4">
        <v>6.2</v>
      </c>
    </row>
    <row r="5" spans="1:12" x14ac:dyDescent="0.35">
      <c r="A5">
        <v>2021</v>
      </c>
      <c r="B5" t="s">
        <v>95</v>
      </c>
      <c r="C5">
        <v>2646</v>
      </c>
      <c r="D5">
        <v>397</v>
      </c>
      <c r="E5">
        <v>55</v>
      </c>
      <c r="F5">
        <v>97</v>
      </c>
      <c r="G5" t="s">
        <v>96</v>
      </c>
      <c r="H5">
        <v>229.11</v>
      </c>
      <c r="I5" t="s">
        <v>97</v>
      </c>
      <c r="J5">
        <v>60</v>
      </c>
      <c r="K5">
        <v>5.0999999999999996</v>
      </c>
      <c r="L5">
        <v>8.6</v>
      </c>
    </row>
    <row r="6" spans="1:12" x14ac:dyDescent="0.35">
      <c r="A6">
        <v>2020</v>
      </c>
      <c r="B6" t="s">
        <v>95</v>
      </c>
      <c r="C6">
        <v>2680</v>
      </c>
      <c r="D6">
        <v>216</v>
      </c>
      <c r="E6">
        <v>99</v>
      </c>
      <c r="F6">
        <v>46</v>
      </c>
      <c r="G6" t="s">
        <v>96</v>
      </c>
      <c r="H6">
        <v>48</v>
      </c>
      <c r="I6" t="s">
        <v>97</v>
      </c>
      <c r="J6">
        <v>51</v>
      </c>
      <c r="K6">
        <v>9.1</v>
      </c>
      <c r="L6">
        <v>6.7</v>
      </c>
    </row>
    <row r="7" spans="1:12" x14ac:dyDescent="0.35">
      <c r="A7">
        <v>2023</v>
      </c>
      <c r="B7" t="s">
        <v>98</v>
      </c>
      <c r="C7">
        <v>818</v>
      </c>
      <c r="D7">
        <v>448</v>
      </c>
      <c r="E7">
        <v>10</v>
      </c>
      <c r="F7">
        <v>30</v>
      </c>
      <c r="G7" t="s">
        <v>100</v>
      </c>
      <c r="H7">
        <v>438.89</v>
      </c>
      <c r="I7" t="s">
        <v>97</v>
      </c>
      <c r="J7">
        <v>73</v>
      </c>
      <c r="K7">
        <v>5.3</v>
      </c>
      <c r="L7">
        <v>7.1</v>
      </c>
    </row>
    <row r="8" spans="1:12" x14ac:dyDescent="0.35">
      <c r="A8">
        <v>2022</v>
      </c>
      <c r="B8" t="s">
        <v>98</v>
      </c>
      <c r="C8">
        <v>1199</v>
      </c>
      <c r="D8">
        <v>148</v>
      </c>
      <c r="E8">
        <v>114</v>
      </c>
      <c r="F8">
        <v>11</v>
      </c>
      <c r="G8" t="s">
        <v>101</v>
      </c>
      <c r="H8">
        <v>468.82</v>
      </c>
      <c r="I8" t="s">
        <v>97</v>
      </c>
      <c r="J8">
        <v>53</v>
      </c>
      <c r="K8">
        <v>9.6</v>
      </c>
      <c r="L8">
        <v>6.3</v>
      </c>
    </row>
    <row r="9" spans="1:12" x14ac:dyDescent="0.35">
      <c r="A9">
        <v>2020</v>
      </c>
      <c r="B9" t="s">
        <v>95</v>
      </c>
      <c r="C9">
        <v>4092</v>
      </c>
      <c r="D9">
        <v>500</v>
      </c>
      <c r="E9">
        <v>152</v>
      </c>
      <c r="F9">
        <v>69</v>
      </c>
      <c r="G9" t="s">
        <v>102</v>
      </c>
      <c r="H9">
        <v>53.85</v>
      </c>
      <c r="I9" t="s">
        <v>99</v>
      </c>
      <c r="J9">
        <v>80</v>
      </c>
      <c r="K9">
        <v>9.4</v>
      </c>
      <c r="L9">
        <v>9.5</v>
      </c>
    </row>
    <row r="10" spans="1:12" x14ac:dyDescent="0.35">
      <c r="A10">
        <v>2021</v>
      </c>
      <c r="B10" t="s">
        <v>95</v>
      </c>
      <c r="C10">
        <v>4156</v>
      </c>
      <c r="D10">
        <v>362</v>
      </c>
      <c r="E10">
        <v>53</v>
      </c>
      <c r="F10">
        <v>95</v>
      </c>
      <c r="G10" t="s">
        <v>100</v>
      </c>
      <c r="H10">
        <v>318.79000000000002</v>
      </c>
      <c r="I10" t="s">
        <v>97</v>
      </c>
      <c r="J10">
        <v>56</v>
      </c>
      <c r="K10">
        <v>6</v>
      </c>
      <c r="L10">
        <v>6</v>
      </c>
    </row>
    <row r="11" spans="1:12" x14ac:dyDescent="0.35">
      <c r="A11">
        <v>2021</v>
      </c>
      <c r="B11" t="s">
        <v>103</v>
      </c>
      <c r="C11">
        <v>2490</v>
      </c>
      <c r="D11">
        <v>74</v>
      </c>
      <c r="E11">
        <v>144</v>
      </c>
      <c r="F11">
        <v>22</v>
      </c>
      <c r="G11" t="s">
        <v>101</v>
      </c>
      <c r="H11">
        <v>461.33</v>
      </c>
      <c r="I11" t="s">
        <v>99</v>
      </c>
      <c r="J11">
        <v>66</v>
      </c>
      <c r="K11">
        <v>6.8</v>
      </c>
      <c r="L11">
        <v>7.3</v>
      </c>
    </row>
    <row r="12" spans="1:12" x14ac:dyDescent="0.35">
      <c r="A12">
        <v>2020</v>
      </c>
      <c r="B12" t="s">
        <v>104</v>
      </c>
      <c r="C12">
        <v>1497</v>
      </c>
      <c r="D12">
        <v>330</v>
      </c>
      <c r="E12">
        <v>10</v>
      </c>
      <c r="F12">
        <v>10</v>
      </c>
      <c r="G12" t="s">
        <v>100</v>
      </c>
      <c r="H12">
        <v>258.49</v>
      </c>
      <c r="I12" t="s">
        <v>99</v>
      </c>
      <c r="J12">
        <v>59</v>
      </c>
      <c r="K12">
        <v>8.3000000000000007</v>
      </c>
      <c r="L12">
        <v>8</v>
      </c>
    </row>
    <row r="13" spans="1:12" x14ac:dyDescent="0.35">
      <c r="A13">
        <v>2024</v>
      </c>
      <c r="B13" t="s">
        <v>103</v>
      </c>
      <c r="C13">
        <v>2712</v>
      </c>
      <c r="D13">
        <v>408</v>
      </c>
      <c r="E13">
        <v>186</v>
      </c>
      <c r="F13">
        <v>61</v>
      </c>
      <c r="G13" t="s">
        <v>96</v>
      </c>
      <c r="H13">
        <v>224.92</v>
      </c>
      <c r="I13" t="s">
        <v>99</v>
      </c>
      <c r="J13">
        <v>78</v>
      </c>
      <c r="K13">
        <v>9.5</v>
      </c>
      <c r="L13">
        <v>8.9</v>
      </c>
    </row>
    <row r="14" spans="1:12" x14ac:dyDescent="0.35">
      <c r="A14">
        <v>2024</v>
      </c>
      <c r="B14" t="s">
        <v>98</v>
      </c>
      <c r="C14">
        <v>2885</v>
      </c>
      <c r="D14">
        <v>469</v>
      </c>
      <c r="E14">
        <v>125</v>
      </c>
      <c r="F14">
        <v>92</v>
      </c>
      <c r="G14" t="s">
        <v>96</v>
      </c>
      <c r="H14">
        <v>418.49</v>
      </c>
      <c r="I14" t="s">
        <v>97</v>
      </c>
      <c r="J14">
        <v>58</v>
      </c>
      <c r="K14">
        <v>9.3000000000000007</v>
      </c>
      <c r="L14">
        <v>7.7</v>
      </c>
    </row>
    <row r="15" spans="1:12" x14ac:dyDescent="0.35">
      <c r="A15">
        <v>2023</v>
      </c>
      <c r="B15" t="s">
        <v>95</v>
      </c>
      <c r="C15">
        <v>2267</v>
      </c>
      <c r="D15">
        <v>164</v>
      </c>
      <c r="E15">
        <v>125</v>
      </c>
      <c r="F15">
        <v>42</v>
      </c>
      <c r="G15" t="s">
        <v>101</v>
      </c>
      <c r="H15">
        <v>445.62</v>
      </c>
      <c r="I15" t="s">
        <v>99</v>
      </c>
      <c r="J15">
        <v>58</v>
      </c>
      <c r="K15">
        <v>7.3</v>
      </c>
      <c r="L15">
        <v>7.7</v>
      </c>
    </row>
    <row r="16" spans="1:12" x14ac:dyDescent="0.35">
      <c r="A16">
        <v>2020</v>
      </c>
      <c r="B16" t="s">
        <v>95</v>
      </c>
      <c r="C16">
        <v>2333</v>
      </c>
      <c r="D16">
        <v>358</v>
      </c>
      <c r="E16">
        <v>48</v>
      </c>
      <c r="F16">
        <v>17</v>
      </c>
      <c r="G16" t="s">
        <v>101</v>
      </c>
      <c r="H16">
        <v>388.5</v>
      </c>
      <c r="I16" t="s">
        <v>99</v>
      </c>
      <c r="J16">
        <v>40</v>
      </c>
      <c r="K16">
        <v>10</v>
      </c>
      <c r="L16">
        <v>8.3000000000000007</v>
      </c>
    </row>
    <row r="17" spans="1:12" x14ac:dyDescent="0.35">
      <c r="A17">
        <v>2021</v>
      </c>
      <c r="B17" t="s">
        <v>98</v>
      </c>
      <c r="C17">
        <v>3490</v>
      </c>
      <c r="D17">
        <v>127</v>
      </c>
      <c r="E17">
        <v>17</v>
      </c>
      <c r="F17">
        <v>62</v>
      </c>
      <c r="G17" t="s">
        <v>100</v>
      </c>
      <c r="H17">
        <v>495.19</v>
      </c>
      <c r="I17" t="s">
        <v>99</v>
      </c>
      <c r="J17">
        <v>52</v>
      </c>
      <c r="K17">
        <v>8.4</v>
      </c>
      <c r="L17">
        <v>7.5</v>
      </c>
    </row>
    <row r="18" spans="1:12" x14ac:dyDescent="0.35">
      <c r="A18">
        <v>2020</v>
      </c>
      <c r="B18" t="s">
        <v>103</v>
      </c>
      <c r="C18">
        <v>3264</v>
      </c>
      <c r="D18">
        <v>435</v>
      </c>
      <c r="E18">
        <v>82</v>
      </c>
      <c r="F18">
        <v>18</v>
      </c>
      <c r="G18" t="s">
        <v>102</v>
      </c>
      <c r="H18">
        <v>61.17</v>
      </c>
      <c r="I18" t="s">
        <v>99</v>
      </c>
      <c r="J18">
        <v>76</v>
      </c>
      <c r="K18">
        <v>5.3</v>
      </c>
      <c r="L18">
        <v>7.1</v>
      </c>
    </row>
    <row r="19" spans="1:12" x14ac:dyDescent="0.35">
      <c r="A19">
        <v>2022</v>
      </c>
      <c r="B19" t="s">
        <v>98</v>
      </c>
      <c r="C19">
        <v>4813</v>
      </c>
      <c r="D19">
        <v>249</v>
      </c>
      <c r="E19">
        <v>81</v>
      </c>
      <c r="F19">
        <v>64</v>
      </c>
      <c r="G19" t="s">
        <v>101</v>
      </c>
      <c r="H19">
        <v>182.9</v>
      </c>
      <c r="I19" t="s">
        <v>97</v>
      </c>
      <c r="J19">
        <v>67</v>
      </c>
      <c r="K19">
        <v>9.8000000000000007</v>
      </c>
      <c r="L19">
        <v>7.5</v>
      </c>
    </row>
    <row r="20" spans="1:12" x14ac:dyDescent="0.35">
      <c r="A20">
        <v>2022</v>
      </c>
      <c r="B20" t="s">
        <v>98</v>
      </c>
      <c r="C20">
        <v>2804</v>
      </c>
      <c r="D20">
        <v>273</v>
      </c>
      <c r="E20">
        <v>87</v>
      </c>
      <c r="F20">
        <v>36</v>
      </c>
      <c r="G20" t="s">
        <v>96</v>
      </c>
      <c r="H20">
        <v>243.85</v>
      </c>
      <c r="I20" t="s">
        <v>97</v>
      </c>
      <c r="J20">
        <v>46</v>
      </c>
      <c r="K20">
        <v>6.6</v>
      </c>
      <c r="L20">
        <v>9.5</v>
      </c>
    </row>
    <row r="21" spans="1:12" x14ac:dyDescent="0.35">
      <c r="A21">
        <v>2021</v>
      </c>
      <c r="B21" t="s">
        <v>104</v>
      </c>
      <c r="C21">
        <v>2239</v>
      </c>
      <c r="D21">
        <v>78</v>
      </c>
      <c r="E21">
        <v>30</v>
      </c>
      <c r="F21">
        <v>14</v>
      </c>
      <c r="G21" t="s">
        <v>102</v>
      </c>
      <c r="H21">
        <v>129.97999999999999</v>
      </c>
      <c r="I21" t="s">
        <v>99</v>
      </c>
      <c r="J21">
        <v>53</v>
      </c>
      <c r="K21">
        <v>8</v>
      </c>
      <c r="L21">
        <v>7.6</v>
      </c>
    </row>
    <row r="22" spans="1:12" x14ac:dyDescent="0.35">
      <c r="A22">
        <v>2024</v>
      </c>
      <c r="B22" t="s">
        <v>98</v>
      </c>
      <c r="C22">
        <v>1581</v>
      </c>
      <c r="D22">
        <v>247</v>
      </c>
      <c r="E22">
        <v>181</v>
      </c>
      <c r="F22">
        <v>72</v>
      </c>
      <c r="G22" t="s">
        <v>101</v>
      </c>
      <c r="H22">
        <v>221.42</v>
      </c>
      <c r="I22" t="s">
        <v>97</v>
      </c>
      <c r="J22">
        <v>56</v>
      </c>
      <c r="K22">
        <v>5.6</v>
      </c>
      <c r="L22">
        <v>7.9</v>
      </c>
    </row>
    <row r="23" spans="1:12" x14ac:dyDescent="0.35">
      <c r="A23">
        <v>2025</v>
      </c>
      <c r="B23" t="s">
        <v>98</v>
      </c>
      <c r="C23">
        <v>760</v>
      </c>
      <c r="D23">
        <v>406</v>
      </c>
      <c r="E23">
        <v>65</v>
      </c>
      <c r="F23">
        <v>69</v>
      </c>
      <c r="G23" t="s">
        <v>100</v>
      </c>
      <c r="H23">
        <v>140.29</v>
      </c>
      <c r="I23" t="s">
        <v>99</v>
      </c>
      <c r="J23">
        <v>40</v>
      </c>
      <c r="K23">
        <v>5.0999999999999996</v>
      </c>
      <c r="L23">
        <v>7.5</v>
      </c>
    </row>
    <row r="24" spans="1:12" x14ac:dyDescent="0.35">
      <c r="A24">
        <v>2023</v>
      </c>
      <c r="B24" t="s">
        <v>95</v>
      </c>
      <c r="C24">
        <v>2238</v>
      </c>
      <c r="D24">
        <v>101</v>
      </c>
      <c r="E24">
        <v>184</v>
      </c>
      <c r="F24">
        <v>79</v>
      </c>
      <c r="G24" t="s">
        <v>101</v>
      </c>
      <c r="H24">
        <v>216.84</v>
      </c>
      <c r="I24" t="s">
        <v>99</v>
      </c>
      <c r="J24">
        <v>65</v>
      </c>
      <c r="K24">
        <v>7</v>
      </c>
      <c r="L24">
        <v>7.1</v>
      </c>
    </row>
    <row r="25" spans="1:12" x14ac:dyDescent="0.35">
      <c r="A25">
        <v>2024</v>
      </c>
      <c r="B25" t="s">
        <v>103</v>
      </c>
      <c r="C25">
        <v>1760</v>
      </c>
      <c r="D25">
        <v>415</v>
      </c>
      <c r="E25">
        <v>183</v>
      </c>
      <c r="F25">
        <v>11</v>
      </c>
      <c r="G25" t="s">
        <v>96</v>
      </c>
      <c r="H25">
        <v>291</v>
      </c>
      <c r="I25" t="s">
        <v>99</v>
      </c>
      <c r="J25">
        <v>53</v>
      </c>
      <c r="K25">
        <v>8.1999999999999993</v>
      </c>
      <c r="L25">
        <v>8.4</v>
      </c>
    </row>
    <row r="26" spans="1:12" x14ac:dyDescent="0.35">
      <c r="A26">
        <v>2024</v>
      </c>
      <c r="B26" t="s">
        <v>95</v>
      </c>
      <c r="C26">
        <v>4103</v>
      </c>
      <c r="D26">
        <v>423</v>
      </c>
      <c r="E26">
        <v>179</v>
      </c>
      <c r="F26">
        <v>30</v>
      </c>
      <c r="G26" t="s">
        <v>96</v>
      </c>
      <c r="H26">
        <v>225.42</v>
      </c>
      <c r="I26" t="s">
        <v>99</v>
      </c>
      <c r="J26">
        <v>41</v>
      </c>
      <c r="K26">
        <v>6.7</v>
      </c>
      <c r="L26">
        <v>5</v>
      </c>
    </row>
    <row r="27" spans="1:12" x14ac:dyDescent="0.35">
      <c r="A27">
        <v>2025</v>
      </c>
      <c r="B27" t="s">
        <v>95</v>
      </c>
      <c r="C27">
        <v>4470</v>
      </c>
      <c r="D27">
        <v>63</v>
      </c>
      <c r="E27">
        <v>49</v>
      </c>
      <c r="F27">
        <v>54</v>
      </c>
      <c r="G27" t="s">
        <v>102</v>
      </c>
      <c r="H27">
        <v>213.92</v>
      </c>
      <c r="I27" t="s">
        <v>99</v>
      </c>
      <c r="J27">
        <v>43</v>
      </c>
      <c r="K27">
        <v>5.8</v>
      </c>
      <c r="L27">
        <v>5.6</v>
      </c>
    </row>
    <row r="28" spans="1:12" x14ac:dyDescent="0.35">
      <c r="A28">
        <v>2020</v>
      </c>
      <c r="B28" t="s">
        <v>104</v>
      </c>
      <c r="C28">
        <v>2515</v>
      </c>
      <c r="D28">
        <v>362</v>
      </c>
      <c r="E28">
        <v>146</v>
      </c>
      <c r="F28">
        <v>94</v>
      </c>
      <c r="G28" t="s">
        <v>102</v>
      </c>
      <c r="H28">
        <v>447.14</v>
      </c>
      <c r="I28" t="s">
        <v>97</v>
      </c>
      <c r="J28">
        <v>63</v>
      </c>
      <c r="K28">
        <v>5.8</v>
      </c>
      <c r="L28">
        <v>5</v>
      </c>
    </row>
    <row r="29" spans="1:12" x14ac:dyDescent="0.35">
      <c r="A29">
        <v>2025</v>
      </c>
      <c r="B29" t="s">
        <v>104</v>
      </c>
      <c r="C29">
        <v>3852</v>
      </c>
      <c r="D29">
        <v>317</v>
      </c>
      <c r="E29">
        <v>65</v>
      </c>
      <c r="F29">
        <v>12</v>
      </c>
      <c r="G29" t="s">
        <v>101</v>
      </c>
      <c r="H29">
        <v>294.38</v>
      </c>
      <c r="I29" t="s">
        <v>97</v>
      </c>
      <c r="J29">
        <v>78</v>
      </c>
      <c r="K29">
        <v>6.2</v>
      </c>
      <c r="L29">
        <v>7.3</v>
      </c>
    </row>
    <row r="30" spans="1:12" x14ac:dyDescent="0.35">
      <c r="A30">
        <v>2025</v>
      </c>
      <c r="B30" t="s">
        <v>103</v>
      </c>
      <c r="C30">
        <v>4773</v>
      </c>
      <c r="D30">
        <v>497</v>
      </c>
      <c r="E30">
        <v>186</v>
      </c>
      <c r="F30">
        <v>56</v>
      </c>
      <c r="G30" t="s">
        <v>100</v>
      </c>
      <c r="H30">
        <v>197.87</v>
      </c>
      <c r="I30" t="s">
        <v>99</v>
      </c>
      <c r="J30">
        <v>44</v>
      </c>
      <c r="K30">
        <v>9.4</v>
      </c>
      <c r="L30">
        <v>6.1</v>
      </c>
    </row>
    <row r="31" spans="1:12" x14ac:dyDescent="0.35">
      <c r="A31">
        <v>2025</v>
      </c>
      <c r="B31" t="s">
        <v>103</v>
      </c>
      <c r="C31">
        <v>3571</v>
      </c>
      <c r="D31">
        <v>86</v>
      </c>
      <c r="E31">
        <v>181</v>
      </c>
      <c r="F31">
        <v>90</v>
      </c>
      <c r="G31" t="s">
        <v>101</v>
      </c>
      <c r="H31">
        <v>474.21</v>
      </c>
      <c r="I31" t="s">
        <v>97</v>
      </c>
      <c r="J31">
        <v>58</v>
      </c>
      <c r="K31">
        <v>7.4</v>
      </c>
      <c r="L31">
        <v>7.6</v>
      </c>
    </row>
    <row r="32" spans="1:12" x14ac:dyDescent="0.35">
      <c r="A32">
        <v>2020</v>
      </c>
      <c r="B32" t="s">
        <v>98</v>
      </c>
      <c r="C32">
        <v>2030</v>
      </c>
      <c r="D32">
        <v>200</v>
      </c>
      <c r="E32">
        <v>169</v>
      </c>
      <c r="F32">
        <v>18</v>
      </c>
      <c r="G32" t="s">
        <v>96</v>
      </c>
      <c r="H32">
        <v>104.98</v>
      </c>
      <c r="I32" t="s">
        <v>97</v>
      </c>
      <c r="J32">
        <v>76</v>
      </c>
      <c r="K32">
        <v>5.2</v>
      </c>
      <c r="L32">
        <v>9.3000000000000007</v>
      </c>
    </row>
    <row r="33" spans="1:12" x14ac:dyDescent="0.35">
      <c r="A33">
        <v>2020</v>
      </c>
      <c r="B33" t="s">
        <v>103</v>
      </c>
      <c r="C33">
        <v>811</v>
      </c>
      <c r="D33">
        <v>398</v>
      </c>
      <c r="E33">
        <v>94</v>
      </c>
      <c r="F33">
        <v>94</v>
      </c>
      <c r="G33" t="s">
        <v>96</v>
      </c>
      <c r="H33">
        <v>438.45</v>
      </c>
      <c r="I33" t="s">
        <v>99</v>
      </c>
      <c r="J33">
        <v>66</v>
      </c>
      <c r="K33">
        <v>7.2</v>
      </c>
      <c r="L33">
        <v>9.6</v>
      </c>
    </row>
    <row r="34" spans="1:12" x14ac:dyDescent="0.35">
      <c r="A34">
        <v>2023</v>
      </c>
      <c r="B34" t="s">
        <v>103</v>
      </c>
      <c r="C34">
        <v>1727</v>
      </c>
      <c r="D34">
        <v>59</v>
      </c>
      <c r="E34">
        <v>184</v>
      </c>
      <c r="F34">
        <v>20</v>
      </c>
      <c r="G34" t="s">
        <v>102</v>
      </c>
      <c r="H34">
        <v>249.68</v>
      </c>
      <c r="I34" t="s">
        <v>97</v>
      </c>
      <c r="J34">
        <v>50</v>
      </c>
      <c r="K34">
        <v>6.9</v>
      </c>
      <c r="L34">
        <v>8.8000000000000007</v>
      </c>
    </row>
    <row r="35" spans="1:12" x14ac:dyDescent="0.35">
      <c r="A35">
        <v>2024</v>
      </c>
      <c r="B35" t="s">
        <v>103</v>
      </c>
      <c r="C35">
        <v>4481</v>
      </c>
      <c r="D35">
        <v>258</v>
      </c>
      <c r="E35">
        <v>136</v>
      </c>
      <c r="F35">
        <v>32</v>
      </c>
      <c r="G35" t="s">
        <v>102</v>
      </c>
      <c r="H35">
        <v>156.76</v>
      </c>
      <c r="I35" t="s">
        <v>97</v>
      </c>
      <c r="J35">
        <v>53</v>
      </c>
      <c r="K35">
        <v>8.9</v>
      </c>
      <c r="L35">
        <v>5.0999999999999996</v>
      </c>
    </row>
    <row r="36" spans="1:12" x14ac:dyDescent="0.35">
      <c r="A36">
        <v>2022</v>
      </c>
      <c r="B36" t="s">
        <v>98</v>
      </c>
      <c r="C36">
        <v>4287</v>
      </c>
      <c r="D36">
        <v>158</v>
      </c>
      <c r="E36">
        <v>73</v>
      </c>
      <c r="F36">
        <v>66</v>
      </c>
      <c r="G36" t="s">
        <v>96</v>
      </c>
      <c r="H36">
        <v>69.97</v>
      </c>
      <c r="I36" t="s">
        <v>97</v>
      </c>
      <c r="J36">
        <v>78</v>
      </c>
      <c r="K36">
        <v>8.3000000000000007</v>
      </c>
      <c r="L36">
        <v>6.5</v>
      </c>
    </row>
    <row r="37" spans="1:12" x14ac:dyDescent="0.35">
      <c r="A37">
        <v>2021</v>
      </c>
      <c r="B37" t="s">
        <v>104</v>
      </c>
      <c r="C37">
        <v>3560</v>
      </c>
      <c r="D37">
        <v>302</v>
      </c>
      <c r="E37">
        <v>37</v>
      </c>
      <c r="F37">
        <v>42</v>
      </c>
      <c r="G37" t="s">
        <v>101</v>
      </c>
      <c r="H37">
        <v>94.56</v>
      </c>
      <c r="I37" t="s">
        <v>99</v>
      </c>
      <c r="J37">
        <v>50</v>
      </c>
      <c r="K37">
        <v>9.1999999999999993</v>
      </c>
      <c r="L37">
        <v>8.9</v>
      </c>
    </row>
    <row r="38" spans="1:12" x14ac:dyDescent="0.35">
      <c r="A38">
        <v>2023</v>
      </c>
      <c r="B38" t="s">
        <v>95</v>
      </c>
      <c r="C38">
        <v>3449</v>
      </c>
      <c r="D38">
        <v>102</v>
      </c>
      <c r="E38">
        <v>61</v>
      </c>
      <c r="F38">
        <v>42</v>
      </c>
      <c r="G38" t="s">
        <v>100</v>
      </c>
      <c r="H38">
        <v>33.46</v>
      </c>
      <c r="I38" t="s">
        <v>99</v>
      </c>
      <c r="J38">
        <v>77</v>
      </c>
      <c r="K38">
        <v>5.2</v>
      </c>
      <c r="L38">
        <v>9.1999999999999993</v>
      </c>
    </row>
    <row r="39" spans="1:12" x14ac:dyDescent="0.35">
      <c r="A39">
        <v>2024</v>
      </c>
      <c r="B39" t="s">
        <v>98</v>
      </c>
      <c r="C39">
        <v>4324</v>
      </c>
      <c r="D39">
        <v>483</v>
      </c>
      <c r="E39">
        <v>166</v>
      </c>
      <c r="F39">
        <v>26</v>
      </c>
      <c r="G39" t="s">
        <v>96</v>
      </c>
      <c r="H39">
        <v>284.83999999999997</v>
      </c>
      <c r="I39" t="s">
        <v>97</v>
      </c>
      <c r="J39">
        <v>40</v>
      </c>
      <c r="K39">
        <v>8.8000000000000007</v>
      </c>
      <c r="L39">
        <v>6.2</v>
      </c>
    </row>
    <row r="40" spans="1:12" x14ac:dyDescent="0.35">
      <c r="A40">
        <v>2022</v>
      </c>
      <c r="B40" t="s">
        <v>103</v>
      </c>
      <c r="C40">
        <v>2245</v>
      </c>
      <c r="D40">
        <v>435</v>
      </c>
      <c r="E40">
        <v>42</v>
      </c>
      <c r="F40">
        <v>13</v>
      </c>
      <c r="G40" t="s">
        <v>101</v>
      </c>
      <c r="H40">
        <v>265.76</v>
      </c>
      <c r="I40" t="s">
        <v>99</v>
      </c>
      <c r="J40">
        <v>67</v>
      </c>
      <c r="K40">
        <v>7</v>
      </c>
      <c r="L40">
        <v>5.5</v>
      </c>
    </row>
    <row r="41" spans="1:12" x14ac:dyDescent="0.35">
      <c r="A41">
        <v>2021</v>
      </c>
      <c r="B41" t="s">
        <v>98</v>
      </c>
      <c r="C41">
        <v>603</v>
      </c>
      <c r="D41">
        <v>62</v>
      </c>
      <c r="E41">
        <v>100</v>
      </c>
      <c r="F41">
        <v>20</v>
      </c>
      <c r="G41" t="s">
        <v>102</v>
      </c>
      <c r="H41">
        <v>415.3</v>
      </c>
      <c r="I41" t="s">
        <v>99</v>
      </c>
      <c r="J41">
        <v>60</v>
      </c>
      <c r="K41">
        <v>5.3</v>
      </c>
      <c r="L41">
        <v>8.5</v>
      </c>
    </row>
    <row r="42" spans="1:12" x14ac:dyDescent="0.35">
      <c r="A42">
        <v>2020</v>
      </c>
      <c r="B42" t="s">
        <v>95</v>
      </c>
      <c r="C42">
        <v>3981</v>
      </c>
      <c r="D42">
        <v>199</v>
      </c>
      <c r="E42">
        <v>134</v>
      </c>
      <c r="F42">
        <v>63</v>
      </c>
      <c r="G42" t="s">
        <v>102</v>
      </c>
      <c r="H42">
        <v>52.64</v>
      </c>
      <c r="I42" t="s">
        <v>99</v>
      </c>
      <c r="J42">
        <v>63</v>
      </c>
      <c r="K42">
        <v>6.8</v>
      </c>
      <c r="L42">
        <v>8.9</v>
      </c>
    </row>
    <row r="43" spans="1:12" x14ac:dyDescent="0.35">
      <c r="A43">
        <v>2021</v>
      </c>
      <c r="B43" t="s">
        <v>103</v>
      </c>
      <c r="C43">
        <v>1119</v>
      </c>
      <c r="D43">
        <v>325</v>
      </c>
      <c r="E43">
        <v>53</v>
      </c>
      <c r="F43">
        <v>40</v>
      </c>
      <c r="G43" t="s">
        <v>102</v>
      </c>
      <c r="H43">
        <v>307.88</v>
      </c>
      <c r="I43" t="s">
        <v>99</v>
      </c>
      <c r="J43">
        <v>71</v>
      </c>
      <c r="K43">
        <v>7</v>
      </c>
      <c r="L43">
        <v>6.4</v>
      </c>
    </row>
    <row r="44" spans="1:12" x14ac:dyDescent="0.35">
      <c r="A44">
        <v>2023</v>
      </c>
      <c r="B44" t="s">
        <v>104</v>
      </c>
      <c r="C44">
        <v>3076</v>
      </c>
      <c r="D44">
        <v>428</v>
      </c>
      <c r="E44">
        <v>138</v>
      </c>
      <c r="F44">
        <v>79</v>
      </c>
      <c r="G44" t="s">
        <v>101</v>
      </c>
      <c r="H44">
        <v>150.59</v>
      </c>
      <c r="I44" t="s">
        <v>97</v>
      </c>
      <c r="J44">
        <v>62</v>
      </c>
      <c r="K44">
        <v>8.8000000000000007</v>
      </c>
      <c r="L44">
        <v>7.3</v>
      </c>
    </row>
    <row r="45" spans="1:12" x14ac:dyDescent="0.35">
      <c r="A45">
        <v>2024</v>
      </c>
      <c r="B45" t="s">
        <v>104</v>
      </c>
      <c r="C45">
        <v>3958</v>
      </c>
      <c r="D45">
        <v>442</v>
      </c>
      <c r="E45">
        <v>115</v>
      </c>
      <c r="F45">
        <v>94</v>
      </c>
      <c r="G45" t="s">
        <v>96</v>
      </c>
      <c r="H45">
        <v>468.13</v>
      </c>
      <c r="I45" t="s">
        <v>97</v>
      </c>
      <c r="J45">
        <v>63</v>
      </c>
      <c r="K45">
        <v>5.2</v>
      </c>
      <c r="L45">
        <v>5.2</v>
      </c>
    </row>
    <row r="46" spans="1:12" x14ac:dyDescent="0.35">
      <c r="A46">
        <v>2022</v>
      </c>
      <c r="B46" t="s">
        <v>103</v>
      </c>
      <c r="C46">
        <v>1578</v>
      </c>
      <c r="D46">
        <v>122</v>
      </c>
      <c r="E46">
        <v>116</v>
      </c>
      <c r="F46">
        <v>48</v>
      </c>
      <c r="G46" t="s">
        <v>96</v>
      </c>
      <c r="H46">
        <v>172</v>
      </c>
      <c r="I46" t="s">
        <v>99</v>
      </c>
      <c r="J46">
        <v>61</v>
      </c>
      <c r="K46">
        <v>9.5</v>
      </c>
      <c r="L46">
        <v>7.6</v>
      </c>
    </row>
    <row r="47" spans="1:12" x14ac:dyDescent="0.35">
      <c r="A47">
        <v>2020</v>
      </c>
      <c r="B47" t="s">
        <v>103</v>
      </c>
      <c r="C47">
        <v>4570</v>
      </c>
      <c r="D47">
        <v>284</v>
      </c>
      <c r="E47">
        <v>155</v>
      </c>
      <c r="F47">
        <v>6</v>
      </c>
      <c r="G47" t="s">
        <v>102</v>
      </c>
      <c r="H47">
        <v>389.37</v>
      </c>
      <c r="I47" t="s">
        <v>97</v>
      </c>
      <c r="J47">
        <v>52</v>
      </c>
      <c r="K47">
        <v>6.1</v>
      </c>
      <c r="L47">
        <v>6.1</v>
      </c>
    </row>
    <row r="48" spans="1:12" x14ac:dyDescent="0.35">
      <c r="A48">
        <v>2025</v>
      </c>
      <c r="B48" t="s">
        <v>98</v>
      </c>
      <c r="C48">
        <v>718</v>
      </c>
      <c r="D48">
        <v>360</v>
      </c>
      <c r="E48">
        <v>193</v>
      </c>
      <c r="F48">
        <v>14</v>
      </c>
      <c r="G48" t="s">
        <v>101</v>
      </c>
      <c r="H48">
        <v>432.8</v>
      </c>
      <c r="I48" t="s">
        <v>97</v>
      </c>
      <c r="J48">
        <v>64</v>
      </c>
      <c r="K48">
        <v>7.3</v>
      </c>
      <c r="L48">
        <v>8.9</v>
      </c>
    </row>
    <row r="49" spans="1:12" x14ac:dyDescent="0.35">
      <c r="A49">
        <v>2021</v>
      </c>
      <c r="B49" t="s">
        <v>98</v>
      </c>
      <c r="C49">
        <v>4601</v>
      </c>
      <c r="D49">
        <v>65</v>
      </c>
      <c r="E49">
        <v>196</v>
      </c>
      <c r="F49">
        <v>28</v>
      </c>
      <c r="G49" t="s">
        <v>102</v>
      </c>
      <c r="H49">
        <v>320.75</v>
      </c>
      <c r="I49" t="s">
        <v>97</v>
      </c>
      <c r="J49">
        <v>75</v>
      </c>
      <c r="K49">
        <v>7.7</v>
      </c>
      <c r="L49">
        <v>5.7</v>
      </c>
    </row>
    <row r="50" spans="1:12" x14ac:dyDescent="0.35">
      <c r="A50">
        <v>2025</v>
      </c>
      <c r="B50" t="s">
        <v>95</v>
      </c>
      <c r="C50">
        <v>4775</v>
      </c>
      <c r="D50">
        <v>380</v>
      </c>
      <c r="E50">
        <v>139</v>
      </c>
      <c r="F50">
        <v>87</v>
      </c>
      <c r="G50" t="s">
        <v>100</v>
      </c>
      <c r="H50">
        <v>429.95</v>
      </c>
      <c r="I50" t="s">
        <v>99</v>
      </c>
      <c r="J50">
        <v>53</v>
      </c>
      <c r="K50">
        <v>8.8000000000000007</v>
      </c>
      <c r="L50">
        <v>5.8</v>
      </c>
    </row>
    <row r="51" spans="1:12" x14ac:dyDescent="0.35">
      <c r="A51">
        <v>2022</v>
      </c>
      <c r="B51" t="s">
        <v>104</v>
      </c>
      <c r="C51">
        <v>4340</v>
      </c>
      <c r="D51">
        <v>208</v>
      </c>
      <c r="E51">
        <v>86</v>
      </c>
      <c r="F51">
        <v>70</v>
      </c>
      <c r="G51" t="s">
        <v>101</v>
      </c>
      <c r="H51">
        <v>178.86</v>
      </c>
      <c r="I51" t="s">
        <v>99</v>
      </c>
      <c r="J51">
        <v>57</v>
      </c>
      <c r="K51">
        <v>5.5</v>
      </c>
      <c r="L51">
        <v>7.6</v>
      </c>
    </row>
    <row r="52" spans="1:12" x14ac:dyDescent="0.35">
      <c r="A52">
        <v>2021</v>
      </c>
      <c r="B52" t="s">
        <v>104</v>
      </c>
      <c r="C52">
        <v>4327</v>
      </c>
      <c r="D52">
        <v>312</v>
      </c>
      <c r="E52">
        <v>94</v>
      </c>
      <c r="F52">
        <v>86</v>
      </c>
      <c r="G52" t="s">
        <v>100</v>
      </c>
      <c r="H52">
        <v>444.51</v>
      </c>
      <c r="I52" t="s">
        <v>97</v>
      </c>
      <c r="J52">
        <v>66</v>
      </c>
      <c r="K52">
        <v>9.9</v>
      </c>
      <c r="L52">
        <v>9.6</v>
      </c>
    </row>
    <row r="53" spans="1:12" x14ac:dyDescent="0.35">
      <c r="A53">
        <v>2025</v>
      </c>
      <c r="B53" t="s">
        <v>98</v>
      </c>
      <c r="C53">
        <v>1695</v>
      </c>
      <c r="D53">
        <v>285</v>
      </c>
      <c r="E53">
        <v>137</v>
      </c>
      <c r="F53">
        <v>61</v>
      </c>
      <c r="G53" t="s">
        <v>102</v>
      </c>
      <c r="H53">
        <v>302.27999999999997</v>
      </c>
      <c r="I53" t="s">
        <v>99</v>
      </c>
      <c r="J53">
        <v>64</v>
      </c>
      <c r="K53">
        <v>9.1</v>
      </c>
      <c r="L53">
        <v>8.4</v>
      </c>
    </row>
    <row r="54" spans="1:12" x14ac:dyDescent="0.35">
      <c r="A54">
        <v>2020</v>
      </c>
      <c r="B54" t="s">
        <v>98</v>
      </c>
      <c r="C54">
        <v>995</v>
      </c>
      <c r="D54">
        <v>354</v>
      </c>
      <c r="E54">
        <v>126</v>
      </c>
      <c r="F54">
        <v>25</v>
      </c>
      <c r="G54" t="s">
        <v>96</v>
      </c>
      <c r="H54">
        <v>160.31</v>
      </c>
      <c r="I54" t="s">
        <v>97</v>
      </c>
      <c r="J54">
        <v>68</v>
      </c>
      <c r="K54">
        <v>9.3000000000000007</v>
      </c>
      <c r="L54">
        <v>6.2</v>
      </c>
    </row>
    <row r="55" spans="1:12" x14ac:dyDescent="0.35">
      <c r="A55">
        <v>2023</v>
      </c>
      <c r="B55" t="s">
        <v>103</v>
      </c>
      <c r="C55">
        <v>3101</v>
      </c>
      <c r="D55">
        <v>398</v>
      </c>
      <c r="E55">
        <v>149</v>
      </c>
      <c r="F55">
        <v>36</v>
      </c>
      <c r="G55" t="s">
        <v>96</v>
      </c>
      <c r="H55">
        <v>483.07</v>
      </c>
      <c r="I55" t="s">
        <v>97</v>
      </c>
      <c r="J55">
        <v>60</v>
      </c>
      <c r="K55">
        <v>9.5</v>
      </c>
      <c r="L55">
        <v>9.9</v>
      </c>
    </row>
    <row r="56" spans="1:12" x14ac:dyDescent="0.35">
      <c r="A56">
        <v>2021</v>
      </c>
      <c r="B56" t="s">
        <v>98</v>
      </c>
      <c r="C56">
        <v>1992</v>
      </c>
      <c r="D56">
        <v>313</v>
      </c>
      <c r="E56">
        <v>74</v>
      </c>
      <c r="F56">
        <v>93</v>
      </c>
      <c r="G56" t="s">
        <v>102</v>
      </c>
      <c r="H56">
        <v>110.06</v>
      </c>
      <c r="I56" t="s">
        <v>97</v>
      </c>
      <c r="J56">
        <v>61</v>
      </c>
      <c r="K56">
        <v>7.6</v>
      </c>
      <c r="L56">
        <v>7.5</v>
      </c>
    </row>
    <row r="57" spans="1:12" x14ac:dyDescent="0.35">
      <c r="A57">
        <v>2025</v>
      </c>
      <c r="B57" t="s">
        <v>104</v>
      </c>
      <c r="C57">
        <v>2506</v>
      </c>
      <c r="D57">
        <v>330</v>
      </c>
      <c r="E57">
        <v>55</v>
      </c>
      <c r="F57">
        <v>94</v>
      </c>
      <c r="G57" t="s">
        <v>96</v>
      </c>
      <c r="H57">
        <v>250.74</v>
      </c>
      <c r="I57" t="s">
        <v>99</v>
      </c>
      <c r="J57">
        <v>40</v>
      </c>
      <c r="K57">
        <v>7.5</v>
      </c>
      <c r="L57">
        <v>9.6</v>
      </c>
    </row>
    <row r="58" spans="1:12" x14ac:dyDescent="0.35">
      <c r="A58">
        <v>2024</v>
      </c>
      <c r="B58" t="s">
        <v>103</v>
      </c>
      <c r="C58">
        <v>2556</v>
      </c>
      <c r="D58">
        <v>306</v>
      </c>
      <c r="E58">
        <v>45</v>
      </c>
      <c r="F58">
        <v>91</v>
      </c>
      <c r="G58" t="s">
        <v>100</v>
      </c>
      <c r="H58">
        <v>426.07</v>
      </c>
      <c r="I58" t="s">
        <v>97</v>
      </c>
      <c r="J58">
        <v>68</v>
      </c>
      <c r="K58">
        <v>5.3</v>
      </c>
      <c r="L58">
        <v>5.0999999999999996</v>
      </c>
    </row>
    <row r="59" spans="1:12" x14ac:dyDescent="0.35">
      <c r="A59">
        <v>2025</v>
      </c>
      <c r="B59" t="s">
        <v>98</v>
      </c>
      <c r="C59">
        <v>4390</v>
      </c>
      <c r="D59">
        <v>367</v>
      </c>
      <c r="E59">
        <v>167</v>
      </c>
      <c r="F59">
        <v>51</v>
      </c>
      <c r="G59" t="s">
        <v>102</v>
      </c>
      <c r="H59">
        <v>334.56</v>
      </c>
      <c r="I59" t="s">
        <v>99</v>
      </c>
      <c r="J59">
        <v>59</v>
      </c>
      <c r="K59">
        <v>7.8</v>
      </c>
      <c r="L59">
        <v>9.6</v>
      </c>
    </row>
    <row r="60" spans="1:12" x14ac:dyDescent="0.35">
      <c r="A60">
        <v>2020</v>
      </c>
      <c r="B60" t="s">
        <v>95</v>
      </c>
      <c r="C60">
        <v>4401</v>
      </c>
      <c r="D60">
        <v>249</v>
      </c>
      <c r="E60">
        <v>126</v>
      </c>
      <c r="F60">
        <v>45</v>
      </c>
      <c r="G60" t="s">
        <v>100</v>
      </c>
      <c r="H60">
        <v>424.03</v>
      </c>
      <c r="I60" t="s">
        <v>97</v>
      </c>
      <c r="J60">
        <v>60</v>
      </c>
      <c r="K60">
        <v>8.1999999999999993</v>
      </c>
      <c r="L60">
        <v>5.7</v>
      </c>
    </row>
    <row r="61" spans="1:12" x14ac:dyDescent="0.35">
      <c r="A61">
        <v>2024</v>
      </c>
      <c r="B61" t="s">
        <v>98</v>
      </c>
      <c r="C61">
        <v>1275</v>
      </c>
      <c r="D61">
        <v>201</v>
      </c>
      <c r="E61">
        <v>20</v>
      </c>
      <c r="F61">
        <v>100</v>
      </c>
      <c r="G61" t="s">
        <v>101</v>
      </c>
      <c r="H61">
        <v>378.3</v>
      </c>
      <c r="I61" t="s">
        <v>97</v>
      </c>
      <c r="J61">
        <v>66</v>
      </c>
      <c r="K61">
        <v>8.5</v>
      </c>
      <c r="L61">
        <v>7.8</v>
      </c>
    </row>
    <row r="62" spans="1:12" x14ac:dyDescent="0.35">
      <c r="A62">
        <v>2021</v>
      </c>
      <c r="B62" t="s">
        <v>104</v>
      </c>
      <c r="C62">
        <v>3630</v>
      </c>
      <c r="D62">
        <v>208</v>
      </c>
      <c r="E62">
        <v>92</v>
      </c>
      <c r="F62">
        <v>24</v>
      </c>
      <c r="G62" t="s">
        <v>101</v>
      </c>
      <c r="H62">
        <v>440.9</v>
      </c>
      <c r="I62" t="s">
        <v>99</v>
      </c>
      <c r="J62">
        <v>48</v>
      </c>
      <c r="K62">
        <v>5</v>
      </c>
      <c r="L62">
        <v>5.4</v>
      </c>
    </row>
    <row r="63" spans="1:12" x14ac:dyDescent="0.35">
      <c r="A63">
        <v>2020</v>
      </c>
      <c r="B63" t="s">
        <v>104</v>
      </c>
      <c r="C63">
        <v>2654</v>
      </c>
      <c r="D63">
        <v>231</v>
      </c>
      <c r="E63">
        <v>185</v>
      </c>
      <c r="F63">
        <v>73</v>
      </c>
      <c r="G63" t="s">
        <v>101</v>
      </c>
      <c r="H63">
        <v>478</v>
      </c>
      <c r="I63" t="s">
        <v>99</v>
      </c>
      <c r="J63">
        <v>60</v>
      </c>
      <c r="K63">
        <v>9.1999999999999993</v>
      </c>
      <c r="L63">
        <v>7</v>
      </c>
    </row>
    <row r="64" spans="1:12" x14ac:dyDescent="0.35">
      <c r="A64">
        <v>2025</v>
      </c>
      <c r="B64" t="s">
        <v>103</v>
      </c>
      <c r="C64">
        <v>1810</v>
      </c>
      <c r="D64">
        <v>91</v>
      </c>
      <c r="E64">
        <v>151</v>
      </c>
      <c r="F64">
        <v>54</v>
      </c>
      <c r="G64" t="s">
        <v>101</v>
      </c>
      <c r="H64">
        <v>285.51</v>
      </c>
      <c r="I64" t="s">
        <v>97</v>
      </c>
      <c r="J64">
        <v>55</v>
      </c>
      <c r="K64">
        <v>5.9</v>
      </c>
      <c r="L64">
        <v>6.9</v>
      </c>
    </row>
    <row r="65" spans="1:12" x14ac:dyDescent="0.35">
      <c r="A65">
        <v>2025</v>
      </c>
      <c r="B65" t="s">
        <v>98</v>
      </c>
      <c r="C65">
        <v>2208</v>
      </c>
      <c r="D65">
        <v>296</v>
      </c>
      <c r="E65">
        <v>198</v>
      </c>
      <c r="F65">
        <v>72</v>
      </c>
      <c r="G65" t="s">
        <v>101</v>
      </c>
      <c r="H65">
        <v>395.59</v>
      </c>
      <c r="I65" t="s">
        <v>99</v>
      </c>
      <c r="J65">
        <v>77</v>
      </c>
      <c r="K65">
        <v>6</v>
      </c>
      <c r="L65">
        <v>6.7</v>
      </c>
    </row>
    <row r="66" spans="1:12" x14ac:dyDescent="0.35">
      <c r="A66">
        <v>2023</v>
      </c>
      <c r="B66" t="s">
        <v>104</v>
      </c>
      <c r="C66">
        <v>2133</v>
      </c>
      <c r="D66">
        <v>52</v>
      </c>
      <c r="E66">
        <v>141</v>
      </c>
      <c r="F66">
        <v>50</v>
      </c>
      <c r="G66" t="s">
        <v>101</v>
      </c>
      <c r="H66">
        <v>88.08</v>
      </c>
      <c r="I66" t="s">
        <v>97</v>
      </c>
      <c r="J66">
        <v>44</v>
      </c>
      <c r="K66">
        <v>9.8000000000000007</v>
      </c>
      <c r="L66">
        <v>5.8</v>
      </c>
    </row>
    <row r="67" spans="1:12" x14ac:dyDescent="0.35">
      <c r="A67">
        <v>2024</v>
      </c>
      <c r="B67" t="s">
        <v>98</v>
      </c>
      <c r="C67">
        <v>2183</v>
      </c>
      <c r="D67">
        <v>449</v>
      </c>
      <c r="E67">
        <v>25</v>
      </c>
      <c r="F67">
        <v>27</v>
      </c>
      <c r="G67" t="s">
        <v>100</v>
      </c>
      <c r="H67">
        <v>263.14</v>
      </c>
      <c r="I67" t="s">
        <v>99</v>
      </c>
      <c r="J67">
        <v>48</v>
      </c>
      <c r="K67">
        <v>9</v>
      </c>
      <c r="L67">
        <v>8.3000000000000007</v>
      </c>
    </row>
    <row r="68" spans="1:12" x14ac:dyDescent="0.35">
      <c r="A68">
        <v>2022</v>
      </c>
      <c r="B68" t="s">
        <v>104</v>
      </c>
      <c r="C68">
        <v>1924</v>
      </c>
      <c r="D68">
        <v>487</v>
      </c>
      <c r="E68">
        <v>141</v>
      </c>
      <c r="F68">
        <v>33</v>
      </c>
      <c r="G68" t="s">
        <v>101</v>
      </c>
      <c r="H68">
        <v>307.61</v>
      </c>
      <c r="I68" t="s">
        <v>97</v>
      </c>
      <c r="J68">
        <v>68</v>
      </c>
      <c r="K68">
        <v>7.3</v>
      </c>
      <c r="L68">
        <v>8.8000000000000007</v>
      </c>
    </row>
    <row r="69" spans="1:12" x14ac:dyDescent="0.35">
      <c r="A69">
        <v>2022</v>
      </c>
      <c r="B69" t="s">
        <v>104</v>
      </c>
      <c r="C69">
        <v>4624</v>
      </c>
      <c r="D69">
        <v>472</v>
      </c>
      <c r="E69">
        <v>142</v>
      </c>
      <c r="F69">
        <v>50</v>
      </c>
      <c r="G69" t="s">
        <v>100</v>
      </c>
      <c r="H69">
        <v>65</v>
      </c>
      <c r="I69" t="s">
        <v>99</v>
      </c>
      <c r="J69">
        <v>46</v>
      </c>
      <c r="K69">
        <v>5.5</v>
      </c>
      <c r="L69">
        <v>5.7</v>
      </c>
    </row>
    <row r="70" spans="1:12" x14ac:dyDescent="0.35">
      <c r="A70">
        <v>2024</v>
      </c>
      <c r="B70" t="s">
        <v>103</v>
      </c>
      <c r="C70">
        <v>1825</v>
      </c>
      <c r="D70">
        <v>377</v>
      </c>
      <c r="E70">
        <v>31</v>
      </c>
      <c r="F70">
        <v>80</v>
      </c>
      <c r="G70" t="s">
        <v>102</v>
      </c>
      <c r="H70">
        <v>193.07</v>
      </c>
      <c r="I70" t="s">
        <v>97</v>
      </c>
      <c r="J70">
        <v>74</v>
      </c>
      <c r="K70">
        <v>6</v>
      </c>
      <c r="L70">
        <v>9.5</v>
      </c>
    </row>
    <row r="71" spans="1:12" x14ac:dyDescent="0.35">
      <c r="A71">
        <v>2021</v>
      </c>
      <c r="B71" t="s">
        <v>103</v>
      </c>
      <c r="C71">
        <v>1069</v>
      </c>
      <c r="D71">
        <v>222</v>
      </c>
      <c r="E71">
        <v>102</v>
      </c>
      <c r="F71">
        <v>11</v>
      </c>
      <c r="G71" t="s">
        <v>102</v>
      </c>
      <c r="H71">
        <v>497.06</v>
      </c>
      <c r="I71" t="s">
        <v>97</v>
      </c>
      <c r="J71">
        <v>54</v>
      </c>
      <c r="K71">
        <v>6.2</v>
      </c>
      <c r="L71">
        <v>6.6</v>
      </c>
    </row>
    <row r="72" spans="1:12" x14ac:dyDescent="0.35">
      <c r="A72">
        <v>2023</v>
      </c>
      <c r="B72" t="s">
        <v>95</v>
      </c>
      <c r="C72">
        <v>2283</v>
      </c>
      <c r="D72">
        <v>58</v>
      </c>
      <c r="E72">
        <v>103</v>
      </c>
      <c r="F72">
        <v>82</v>
      </c>
      <c r="G72" t="s">
        <v>96</v>
      </c>
      <c r="H72">
        <v>168.15</v>
      </c>
      <c r="I72" t="s">
        <v>99</v>
      </c>
      <c r="J72">
        <v>59</v>
      </c>
      <c r="K72">
        <v>6.7</v>
      </c>
      <c r="L72">
        <v>5.6</v>
      </c>
    </row>
    <row r="73" spans="1:12" x14ac:dyDescent="0.35">
      <c r="A73">
        <v>2024</v>
      </c>
      <c r="B73" t="s">
        <v>98</v>
      </c>
      <c r="C73">
        <v>4784</v>
      </c>
      <c r="D73">
        <v>382</v>
      </c>
      <c r="E73">
        <v>15</v>
      </c>
      <c r="F73">
        <v>73</v>
      </c>
      <c r="G73" t="s">
        <v>96</v>
      </c>
      <c r="H73">
        <v>268.67</v>
      </c>
      <c r="I73" t="s">
        <v>97</v>
      </c>
      <c r="J73">
        <v>59</v>
      </c>
      <c r="K73">
        <v>6.7</v>
      </c>
      <c r="L73">
        <v>10</v>
      </c>
    </row>
    <row r="74" spans="1:12" x14ac:dyDescent="0.35">
      <c r="A74">
        <v>2020</v>
      </c>
      <c r="B74" t="s">
        <v>104</v>
      </c>
      <c r="C74">
        <v>2861</v>
      </c>
      <c r="D74">
        <v>433</v>
      </c>
      <c r="E74">
        <v>139</v>
      </c>
      <c r="F74">
        <v>71</v>
      </c>
      <c r="G74" t="s">
        <v>101</v>
      </c>
      <c r="H74">
        <v>381.61</v>
      </c>
      <c r="I74" t="s">
        <v>97</v>
      </c>
      <c r="J74">
        <v>49</v>
      </c>
      <c r="K74">
        <v>9.1999999999999993</v>
      </c>
      <c r="L74">
        <v>9</v>
      </c>
    </row>
    <row r="75" spans="1:12" x14ac:dyDescent="0.35">
      <c r="A75">
        <v>2023</v>
      </c>
      <c r="B75" t="s">
        <v>104</v>
      </c>
      <c r="C75">
        <v>3616</v>
      </c>
      <c r="D75">
        <v>330</v>
      </c>
      <c r="E75">
        <v>71</v>
      </c>
      <c r="F75">
        <v>67</v>
      </c>
      <c r="G75" t="s">
        <v>100</v>
      </c>
      <c r="H75">
        <v>130.85</v>
      </c>
      <c r="I75" t="s">
        <v>99</v>
      </c>
      <c r="J75">
        <v>75</v>
      </c>
      <c r="K75">
        <v>8.8000000000000007</v>
      </c>
      <c r="L75">
        <v>5.4</v>
      </c>
    </row>
    <row r="76" spans="1:12" x14ac:dyDescent="0.35">
      <c r="A76">
        <v>2025</v>
      </c>
      <c r="B76" t="s">
        <v>103</v>
      </c>
      <c r="C76">
        <v>4452</v>
      </c>
      <c r="D76">
        <v>345</v>
      </c>
      <c r="E76">
        <v>38</v>
      </c>
      <c r="F76">
        <v>82</v>
      </c>
      <c r="G76" t="s">
        <v>100</v>
      </c>
      <c r="H76">
        <v>291.77</v>
      </c>
      <c r="I76" t="s">
        <v>99</v>
      </c>
      <c r="J76">
        <v>78</v>
      </c>
      <c r="K76">
        <v>9.6</v>
      </c>
      <c r="L76">
        <v>7.4</v>
      </c>
    </row>
    <row r="77" spans="1:12" x14ac:dyDescent="0.35">
      <c r="A77">
        <v>2021</v>
      </c>
      <c r="B77" t="s">
        <v>95</v>
      </c>
      <c r="C77">
        <v>1078</v>
      </c>
      <c r="D77">
        <v>395</v>
      </c>
      <c r="E77">
        <v>58</v>
      </c>
      <c r="F77">
        <v>5</v>
      </c>
      <c r="G77" t="s">
        <v>102</v>
      </c>
      <c r="H77">
        <v>139.47999999999999</v>
      </c>
      <c r="I77" t="s">
        <v>99</v>
      </c>
      <c r="J77">
        <v>62</v>
      </c>
      <c r="K77">
        <v>7.3</v>
      </c>
      <c r="L77">
        <v>5.9</v>
      </c>
    </row>
    <row r="78" spans="1:12" x14ac:dyDescent="0.35">
      <c r="A78">
        <v>2020</v>
      </c>
      <c r="B78" t="s">
        <v>103</v>
      </c>
      <c r="C78">
        <v>1286</v>
      </c>
      <c r="D78">
        <v>391</v>
      </c>
      <c r="E78">
        <v>47</v>
      </c>
      <c r="F78">
        <v>60</v>
      </c>
      <c r="G78" t="s">
        <v>102</v>
      </c>
      <c r="H78">
        <v>85.46</v>
      </c>
      <c r="I78" t="s">
        <v>97</v>
      </c>
      <c r="J78">
        <v>48</v>
      </c>
      <c r="K78">
        <v>6.5</v>
      </c>
      <c r="L78">
        <v>5.9</v>
      </c>
    </row>
    <row r="79" spans="1:12" x14ac:dyDescent="0.35">
      <c r="A79">
        <v>2024</v>
      </c>
      <c r="B79" t="s">
        <v>95</v>
      </c>
      <c r="C79">
        <v>1574</v>
      </c>
      <c r="D79">
        <v>391</v>
      </c>
      <c r="E79">
        <v>19</v>
      </c>
      <c r="F79">
        <v>50</v>
      </c>
      <c r="G79" t="s">
        <v>102</v>
      </c>
      <c r="H79">
        <v>240.87</v>
      </c>
      <c r="I79" t="s">
        <v>97</v>
      </c>
      <c r="J79">
        <v>74</v>
      </c>
      <c r="K79">
        <v>8.3000000000000007</v>
      </c>
      <c r="L79">
        <v>5.3</v>
      </c>
    </row>
    <row r="80" spans="1:12" x14ac:dyDescent="0.35">
      <c r="A80">
        <v>2024</v>
      </c>
      <c r="B80" t="s">
        <v>95</v>
      </c>
      <c r="C80">
        <v>1076</v>
      </c>
      <c r="D80">
        <v>86</v>
      </c>
      <c r="E80">
        <v>67</v>
      </c>
      <c r="F80">
        <v>17</v>
      </c>
      <c r="G80" t="s">
        <v>101</v>
      </c>
      <c r="H80">
        <v>206.47</v>
      </c>
      <c r="I80" t="s">
        <v>99</v>
      </c>
      <c r="J80">
        <v>62</v>
      </c>
      <c r="K80">
        <v>7.9</v>
      </c>
      <c r="L80">
        <v>9.9</v>
      </c>
    </row>
    <row r="81" spans="1:12" x14ac:dyDescent="0.35">
      <c r="A81">
        <v>2021</v>
      </c>
      <c r="B81" t="s">
        <v>98</v>
      </c>
      <c r="C81">
        <v>3305</v>
      </c>
      <c r="D81">
        <v>226</v>
      </c>
      <c r="E81">
        <v>132</v>
      </c>
      <c r="F81">
        <v>81</v>
      </c>
      <c r="G81" t="s">
        <v>102</v>
      </c>
      <c r="H81">
        <v>403.02</v>
      </c>
      <c r="I81" t="s">
        <v>97</v>
      </c>
      <c r="J81">
        <v>73</v>
      </c>
      <c r="K81">
        <v>5.5</v>
      </c>
      <c r="L81">
        <v>7.6</v>
      </c>
    </row>
    <row r="82" spans="1:12" x14ac:dyDescent="0.35">
      <c r="A82">
        <v>2020</v>
      </c>
      <c r="B82" t="s">
        <v>98</v>
      </c>
      <c r="C82">
        <v>912</v>
      </c>
      <c r="D82">
        <v>481</v>
      </c>
      <c r="E82">
        <v>200</v>
      </c>
      <c r="F82">
        <v>20</v>
      </c>
      <c r="G82" t="s">
        <v>96</v>
      </c>
      <c r="H82">
        <v>83.61</v>
      </c>
      <c r="I82" t="s">
        <v>97</v>
      </c>
      <c r="J82">
        <v>66</v>
      </c>
      <c r="K82">
        <v>8.6</v>
      </c>
      <c r="L82">
        <v>9.3000000000000007</v>
      </c>
    </row>
    <row r="83" spans="1:12" x14ac:dyDescent="0.35">
      <c r="A83">
        <v>2022</v>
      </c>
      <c r="B83" t="s">
        <v>103</v>
      </c>
      <c r="C83">
        <v>1516</v>
      </c>
      <c r="D83">
        <v>242</v>
      </c>
      <c r="E83">
        <v>134</v>
      </c>
      <c r="F83">
        <v>37</v>
      </c>
      <c r="G83" t="s">
        <v>101</v>
      </c>
      <c r="H83">
        <v>339.08</v>
      </c>
      <c r="I83" t="s">
        <v>97</v>
      </c>
      <c r="J83">
        <v>79</v>
      </c>
      <c r="K83">
        <v>5.6</v>
      </c>
      <c r="L83">
        <v>6.5</v>
      </c>
    </row>
    <row r="84" spans="1:12" x14ac:dyDescent="0.35">
      <c r="A84">
        <v>2022</v>
      </c>
      <c r="B84" t="s">
        <v>104</v>
      </c>
      <c r="C84">
        <v>1012</v>
      </c>
      <c r="D84">
        <v>302</v>
      </c>
      <c r="E84">
        <v>124</v>
      </c>
      <c r="F84">
        <v>35</v>
      </c>
      <c r="G84" t="s">
        <v>102</v>
      </c>
      <c r="H84">
        <v>276.3</v>
      </c>
      <c r="I84" t="s">
        <v>97</v>
      </c>
      <c r="J84">
        <v>73</v>
      </c>
      <c r="K84">
        <v>7.7</v>
      </c>
      <c r="L84">
        <v>5.3</v>
      </c>
    </row>
    <row r="85" spans="1:12" x14ac:dyDescent="0.35">
      <c r="A85">
        <v>2023</v>
      </c>
      <c r="B85" t="s">
        <v>104</v>
      </c>
      <c r="C85">
        <v>3230</v>
      </c>
      <c r="D85">
        <v>290</v>
      </c>
      <c r="E85">
        <v>121</v>
      </c>
      <c r="F85">
        <v>91</v>
      </c>
      <c r="G85" t="s">
        <v>101</v>
      </c>
      <c r="H85">
        <v>435.76</v>
      </c>
      <c r="I85" t="s">
        <v>97</v>
      </c>
      <c r="J85">
        <v>59</v>
      </c>
      <c r="K85">
        <v>7.2</v>
      </c>
      <c r="L85">
        <v>9.1</v>
      </c>
    </row>
    <row r="86" spans="1:12" x14ac:dyDescent="0.35">
      <c r="A86">
        <v>2021</v>
      </c>
      <c r="B86" t="s">
        <v>104</v>
      </c>
      <c r="C86">
        <v>2503</v>
      </c>
      <c r="D86">
        <v>425</v>
      </c>
      <c r="E86">
        <v>45</v>
      </c>
      <c r="F86">
        <v>62</v>
      </c>
      <c r="G86" t="s">
        <v>101</v>
      </c>
      <c r="H86">
        <v>228.15</v>
      </c>
      <c r="I86" t="s">
        <v>97</v>
      </c>
      <c r="J86">
        <v>69</v>
      </c>
      <c r="K86">
        <v>7.4</v>
      </c>
      <c r="L86">
        <v>6.5</v>
      </c>
    </row>
    <row r="87" spans="1:12" x14ac:dyDescent="0.35">
      <c r="A87">
        <v>2020</v>
      </c>
      <c r="B87" t="s">
        <v>95</v>
      </c>
      <c r="C87">
        <v>4946</v>
      </c>
      <c r="D87">
        <v>78</v>
      </c>
      <c r="E87">
        <v>90</v>
      </c>
      <c r="F87">
        <v>66</v>
      </c>
      <c r="G87" t="s">
        <v>102</v>
      </c>
      <c r="H87">
        <v>106.93</v>
      </c>
      <c r="I87" t="s">
        <v>97</v>
      </c>
      <c r="J87">
        <v>40</v>
      </c>
      <c r="K87">
        <v>5.4</v>
      </c>
      <c r="L87">
        <v>8.6999999999999993</v>
      </c>
    </row>
    <row r="88" spans="1:12" x14ac:dyDescent="0.35">
      <c r="A88">
        <v>2025</v>
      </c>
      <c r="B88" t="s">
        <v>95</v>
      </c>
      <c r="C88">
        <v>4606</v>
      </c>
      <c r="D88">
        <v>221</v>
      </c>
      <c r="E88">
        <v>158</v>
      </c>
      <c r="F88">
        <v>90</v>
      </c>
      <c r="G88" t="s">
        <v>102</v>
      </c>
      <c r="H88">
        <v>382.67</v>
      </c>
      <c r="I88" t="s">
        <v>97</v>
      </c>
      <c r="J88">
        <v>45</v>
      </c>
      <c r="K88">
        <v>7.6</v>
      </c>
      <c r="L88">
        <v>6.1</v>
      </c>
    </row>
    <row r="89" spans="1:12" x14ac:dyDescent="0.35">
      <c r="A89">
        <v>2025</v>
      </c>
      <c r="B89" t="s">
        <v>95</v>
      </c>
      <c r="C89">
        <v>1771</v>
      </c>
      <c r="D89">
        <v>158</v>
      </c>
      <c r="E89">
        <v>73</v>
      </c>
      <c r="F89">
        <v>33</v>
      </c>
      <c r="G89" t="s">
        <v>102</v>
      </c>
      <c r="H89">
        <v>485.64</v>
      </c>
      <c r="I89" t="s">
        <v>99</v>
      </c>
      <c r="J89">
        <v>68</v>
      </c>
      <c r="K89">
        <v>9.8000000000000007</v>
      </c>
      <c r="L89">
        <v>8.4</v>
      </c>
    </row>
    <row r="90" spans="1:12" x14ac:dyDescent="0.35">
      <c r="A90">
        <v>2024</v>
      </c>
      <c r="B90" t="s">
        <v>95</v>
      </c>
      <c r="C90">
        <v>2676</v>
      </c>
      <c r="D90">
        <v>176</v>
      </c>
      <c r="E90">
        <v>36</v>
      </c>
      <c r="F90">
        <v>82</v>
      </c>
      <c r="G90" t="s">
        <v>100</v>
      </c>
      <c r="H90">
        <v>362.31</v>
      </c>
      <c r="I90" t="s">
        <v>99</v>
      </c>
      <c r="J90">
        <v>56</v>
      </c>
      <c r="K90">
        <v>9.5</v>
      </c>
      <c r="L90">
        <v>7.9</v>
      </c>
    </row>
    <row r="91" spans="1:12" x14ac:dyDescent="0.35">
      <c r="A91">
        <v>2022</v>
      </c>
      <c r="B91" t="s">
        <v>98</v>
      </c>
      <c r="C91">
        <v>962</v>
      </c>
      <c r="D91">
        <v>356</v>
      </c>
      <c r="E91">
        <v>155</v>
      </c>
      <c r="F91">
        <v>21</v>
      </c>
      <c r="G91" t="s">
        <v>100</v>
      </c>
      <c r="H91">
        <v>54.07</v>
      </c>
      <c r="I91" t="s">
        <v>99</v>
      </c>
      <c r="J91">
        <v>60</v>
      </c>
      <c r="K91">
        <v>9.1</v>
      </c>
      <c r="L91">
        <v>5.9</v>
      </c>
    </row>
    <row r="92" spans="1:12" x14ac:dyDescent="0.35">
      <c r="A92">
        <v>2020</v>
      </c>
      <c r="B92" t="s">
        <v>98</v>
      </c>
      <c r="C92">
        <v>1925</v>
      </c>
      <c r="D92">
        <v>189</v>
      </c>
      <c r="E92">
        <v>39</v>
      </c>
      <c r="F92">
        <v>52</v>
      </c>
      <c r="G92" t="s">
        <v>102</v>
      </c>
      <c r="H92">
        <v>118.92</v>
      </c>
      <c r="I92" t="s">
        <v>97</v>
      </c>
      <c r="J92">
        <v>70</v>
      </c>
      <c r="K92">
        <v>9.4</v>
      </c>
      <c r="L92">
        <v>6.4</v>
      </c>
    </row>
    <row r="93" spans="1:12" x14ac:dyDescent="0.35">
      <c r="A93">
        <v>2023</v>
      </c>
      <c r="B93" t="s">
        <v>104</v>
      </c>
      <c r="C93">
        <v>2919</v>
      </c>
      <c r="D93">
        <v>453</v>
      </c>
      <c r="E93">
        <v>35</v>
      </c>
      <c r="F93">
        <v>99</v>
      </c>
      <c r="G93" t="s">
        <v>102</v>
      </c>
      <c r="H93">
        <v>95.68</v>
      </c>
      <c r="I93" t="s">
        <v>99</v>
      </c>
      <c r="J93">
        <v>47</v>
      </c>
      <c r="K93">
        <v>8</v>
      </c>
      <c r="L93">
        <v>5.0999999999999996</v>
      </c>
    </row>
    <row r="94" spans="1:12" x14ac:dyDescent="0.35">
      <c r="A94">
        <v>2022</v>
      </c>
      <c r="B94" t="s">
        <v>95</v>
      </c>
      <c r="C94">
        <v>4595</v>
      </c>
      <c r="D94">
        <v>481</v>
      </c>
      <c r="E94">
        <v>173</v>
      </c>
      <c r="F94">
        <v>54</v>
      </c>
      <c r="G94" t="s">
        <v>101</v>
      </c>
      <c r="H94">
        <v>454.65</v>
      </c>
      <c r="I94" t="s">
        <v>97</v>
      </c>
      <c r="J94">
        <v>48</v>
      </c>
      <c r="K94">
        <v>8.6</v>
      </c>
      <c r="L94">
        <v>6.5</v>
      </c>
    </row>
    <row r="95" spans="1:12" x14ac:dyDescent="0.35">
      <c r="A95">
        <v>2021</v>
      </c>
      <c r="B95" t="s">
        <v>98</v>
      </c>
      <c r="C95">
        <v>797</v>
      </c>
      <c r="D95">
        <v>133</v>
      </c>
      <c r="E95">
        <v>46</v>
      </c>
      <c r="F95">
        <v>27</v>
      </c>
      <c r="G95" t="s">
        <v>100</v>
      </c>
      <c r="H95">
        <v>474.32</v>
      </c>
      <c r="I95" t="s">
        <v>97</v>
      </c>
      <c r="J95">
        <v>77</v>
      </c>
      <c r="K95">
        <v>6.3</v>
      </c>
      <c r="L95">
        <v>8.6</v>
      </c>
    </row>
    <row r="96" spans="1:12" x14ac:dyDescent="0.35">
      <c r="A96">
        <v>2023</v>
      </c>
      <c r="B96" t="s">
        <v>103</v>
      </c>
      <c r="C96">
        <v>4895</v>
      </c>
      <c r="D96">
        <v>123</v>
      </c>
      <c r="E96">
        <v>132</v>
      </c>
      <c r="F96">
        <v>10</v>
      </c>
      <c r="G96" t="s">
        <v>102</v>
      </c>
      <c r="H96">
        <v>389.31</v>
      </c>
      <c r="I96" t="s">
        <v>97</v>
      </c>
      <c r="J96">
        <v>48</v>
      </c>
      <c r="K96">
        <v>9.3000000000000007</v>
      </c>
      <c r="L96">
        <v>8.4</v>
      </c>
    </row>
    <row r="97" spans="1:12" x14ac:dyDescent="0.35">
      <c r="A97">
        <v>2022</v>
      </c>
      <c r="B97" t="s">
        <v>104</v>
      </c>
      <c r="C97">
        <v>4179</v>
      </c>
      <c r="D97">
        <v>77</v>
      </c>
      <c r="E97">
        <v>58</v>
      </c>
      <c r="F97">
        <v>69</v>
      </c>
      <c r="G97" t="s">
        <v>96</v>
      </c>
      <c r="H97">
        <v>89.79</v>
      </c>
      <c r="I97" t="s">
        <v>99</v>
      </c>
      <c r="J97">
        <v>74</v>
      </c>
      <c r="K97">
        <v>7.6</v>
      </c>
      <c r="L97">
        <v>5.6</v>
      </c>
    </row>
    <row r="98" spans="1:12" x14ac:dyDescent="0.35">
      <c r="A98">
        <v>2020</v>
      </c>
      <c r="B98" t="s">
        <v>103</v>
      </c>
      <c r="C98">
        <v>2119</v>
      </c>
      <c r="D98">
        <v>112</v>
      </c>
      <c r="E98">
        <v>153</v>
      </c>
      <c r="F98">
        <v>59</v>
      </c>
      <c r="G98" t="s">
        <v>102</v>
      </c>
      <c r="H98">
        <v>182.06</v>
      </c>
      <c r="I98" t="s">
        <v>97</v>
      </c>
      <c r="J98">
        <v>42</v>
      </c>
      <c r="K98">
        <v>8.4</v>
      </c>
      <c r="L98">
        <v>9.3000000000000007</v>
      </c>
    </row>
    <row r="99" spans="1:12" x14ac:dyDescent="0.35">
      <c r="A99">
        <v>2021</v>
      </c>
      <c r="B99" t="s">
        <v>98</v>
      </c>
      <c r="C99">
        <v>3810</v>
      </c>
      <c r="D99">
        <v>463</v>
      </c>
      <c r="E99">
        <v>35</v>
      </c>
      <c r="F99">
        <v>96</v>
      </c>
      <c r="G99" t="s">
        <v>96</v>
      </c>
      <c r="H99">
        <v>349.04</v>
      </c>
      <c r="I99" t="s">
        <v>97</v>
      </c>
      <c r="J99">
        <v>55</v>
      </c>
      <c r="K99">
        <v>6.4</v>
      </c>
      <c r="L99">
        <v>6.5</v>
      </c>
    </row>
    <row r="100" spans="1:12" x14ac:dyDescent="0.35">
      <c r="A100">
        <v>2025</v>
      </c>
      <c r="B100" t="s">
        <v>98</v>
      </c>
      <c r="C100">
        <v>1896</v>
      </c>
      <c r="D100">
        <v>110</v>
      </c>
      <c r="E100">
        <v>151</v>
      </c>
      <c r="F100">
        <v>14</v>
      </c>
      <c r="G100" t="s">
        <v>100</v>
      </c>
      <c r="H100">
        <v>456.08</v>
      </c>
      <c r="I100" t="s">
        <v>97</v>
      </c>
      <c r="J100">
        <v>74</v>
      </c>
      <c r="K100">
        <v>8.6999999999999993</v>
      </c>
      <c r="L100">
        <v>7.1</v>
      </c>
    </row>
    <row r="101" spans="1:12" x14ac:dyDescent="0.35">
      <c r="A101">
        <v>2021</v>
      </c>
      <c r="B101" t="s">
        <v>95</v>
      </c>
      <c r="C101">
        <v>4473</v>
      </c>
      <c r="D101">
        <v>195</v>
      </c>
      <c r="E101">
        <v>199</v>
      </c>
      <c r="F101">
        <v>58</v>
      </c>
      <c r="G101" t="s">
        <v>100</v>
      </c>
      <c r="H101">
        <v>235.12</v>
      </c>
      <c r="I101" t="s">
        <v>99</v>
      </c>
      <c r="J101">
        <v>54</v>
      </c>
      <c r="K101">
        <v>6.4</v>
      </c>
      <c r="L101">
        <v>7.4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Regression Analysis</vt:lpstr>
      <vt:lpstr>Histogram</vt:lpstr>
      <vt:lpstr>Correlation &amp; Covariance</vt:lpstr>
      <vt:lpstr>Descriptive Statistics</vt:lpstr>
      <vt:lpstr>Big 4 Financial risk compliance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</dc:creator>
  <dc:description/>
  <cp:lastModifiedBy>Yash Narendra Bhale</cp:lastModifiedBy>
  <cp:revision>0</cp:revision>
  <dcterms:created xsi:type="dcterms:W3CDTF">2026-03-26T23:53:38Z</dcterms:created>
  <dcterms:modified xsi:type="dcterms:W3CDTF">2026-03-27T00:57:05Z</dcterms:modified>
  <dc:language>en-US</dc:language>
</cp:coreProperties>
</file>